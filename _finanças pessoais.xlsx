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025" sheetId="1" r:id="rId4"/>
    <sheet state="visible" name="2026 " sheetId="2" r:id="rId5"/>
    <sheet state="visible" name="Detalhes" sheetId="3" r:id="rId6"/>
    <sheet state="visible" name="Página6" sheetId="4" r:id="rId7"/>
  </sheets>
  <definedNames/>
  <calcPr/>
  <extLst>
    <ext uri="GoogleSheetsCustomDataVersion2">
      <go:sheetsCustomData xmlns:go="http://customooxmlschemas.google.com/" r:id="rId8" roundtripDataChecksum="ien7xWSN/VK484oBGcn/8DR1PHGE30HId54y+qNv8PY="/>
    </ext>
  </extLst>
</workbook>
</file>

<file path=xl/sharedStrings.xml><?xml version="1.0" encoding="utf-8"?>
<sst xmlns="http://schemas.openxmlformats.org/spreadsheetml/2006/main" count="195" uniqueCount="97">
  <si>
    <t>Mapa de Finanças: seu controle inteligente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</si>
  <si>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</si>
  <si>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</si>
  <si>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</si>
  <si>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</si>
  <si>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</si>
  <si>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</si>
  <si>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</si>
  <si>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</si>
  <si>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</si>
  <si>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</si>
  <si>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</si>
  <si>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</si>
  <si>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RECEITA</t>
  </si>
  <si>
    <t xml:space="preserve">Salário </t>
  </si>
  <si>
    <t>Valuu</t>
  </si>
  <si>
    <t>Marcia</t>
  </si>
  <si>
    <t>Micro ondas</t>
  </si>
  <si>
    <t xml:space="preserve">Férias </t>
  </si>
  <si>
    <t xml:space="preserve">13° salário </t>
  </si>
  <si>
    <t xml:space="preserve">Total receita </t>
  </si>
  <si>
    <t>DESPESAS</t>
  </si>
  <si>
    <t>FIXAS</t>
  </si>
  <si>
    <t>Dízimo</t>
  </si>
  <si>
    <t>Àgua</t>
  </si>
  <si>
    <t>Maira</t>
  </si>
  <si>
    <t>Internet</t>
  </si>
  <si>
    <t>Academia</t>
  </si>
  <si>
    <t xml:space="preserve">Total despesas fixas </t>
  </si>
  <si>
    <t xml:space="preserve">VARIÁVEIS </t>
  </si>
  <si>
    <t xml:space="preserve">Total despesas variáveis </t>
  </si>
  <si>
    <t>EXTRAS</t>
  </si>
  <si>
    <t xml:space="preserve">Mc </t>
  </si>
  <si>
    <t xml:space="preserve">Total despesas extras </t>
  </si>
  <si>
    <t>OPCIONAIS</t>
  </si>
  <si>
    <t>Lazer</t>
  </si>
  <si>
    <t xml:space="preserve">Viagens </t>
  </si>
  <si>
    <t xml:space="preserve">casa mercado livre </t>
  </si>
  <si>
    <t xml:space="preserve">Presentes </t>
  </si>
  <si>
    <t xml:space="preserve">Total despesas adicionais  </t>
  </si>
  <si>
    <t xml:space="preserve">CRÉDITO </t>
  </si>
  <si>
    <t>Cartão de crédito BB</t>
  </si>
  <si>
    <t>Cartão de crédito Nubank</t>
  </si>
  <si>
    <t>Casa - Carro - Comida</t>
  </si>
  <si>
    <t>Doação</t>
  </si>
  <si>
    <t>Financiamento automóvel (Marcia)</t>
  </si>
  <si>
    <t>Financiamento automóvel (Rafael)</t>
  </si>
  <si>
    <t>Total em crédito</t>
  </si>
  <si>
    <t xml:space="preserve">SALDO TOTAL </t>
  </si>
  <si>
    <t xml:space="preserve">Receita </t>
  </si>
  <si>
    <t>Despesas fixas</t>
  </si>
  <si>
    <t>Despesas variáveis</t>
  </si>
  <si>
    <t xml:space="preserve">Despesas extras </t>
  </si>
  <si>
    <t>Despesas adicionais</t>
  </si>
  <si>
    <t>Cartão de Crédito + Finac Carro</t>
  </si>
  <si>
    <t>Saldo FINAL</t>
  </si>
  <si>
    <t>DESPESAS &amp; INVESTIMENTOS</t>
  </si>
  <si>
    <r>
      <rPr>
        <rFont val="IBM Plex Sans"/>
        <b/>
        <color rgb="FF000000"/>
        <sz val="18.0"/>
      </rPr>
      <t xml:space="preserve">META DE INVESTIMENTOS </t>
    </r>
    <r>
      <rPr>
        <rFont val="IBM Plex Sans"/>
        <b/>
        <i/>
        <color rgb="FF000000"/>
        <sz val="12.0"/>
      </rPr>
      <t>(MANUAL)</t>
    </r>
  </si>
  <si>
    <r>
      <rPr>
        <rFont val="IBM Plex Sans"/>
        <b/>
        <color rgb="FF000000"/>
        <sz val="14.0"/>
      </rPr>
      <t xml:space="preserve">Quanto consigo investir por mês </t>
    </r>
    <r>
      <rPr>
        <rFont val="IBM Plex Sans"/>
        <b/>
        <i/>
        <color rgb="FF000000"/>
        <sz val="14.0"/>
      </rPr>
      <t>(manual)</t>
    </r>
  </si>
  <si>
    <r>
      <rPr>
        <rFont val="IBM Plex Sans"/>
        <b/>
        <color rgb="FF000000"/>
        <sz val="14.0"/>
      </rPr>
      <t xml:space="preserve">Quanto tenho investido </t>
    </r>
    <r>
      <rPr>
        <rFont val="IBM Plex Sans"/>
        <b/>
        <i/>
        <color rgb="FF000000"/>
        <sz val="14.0"/>
      </rPr>
      <t>(automático)</t>
    </r>
  </si>
  <si>
    <r>
      <rPr>
        <rFont val="IBM Plex Sans"/>
        <b/>
        <color rgb="FF000000"/>
        <sz val="14.0"/>
      </rPr>
      <t xml:space="preserve">Quanto falta para atingir a meta </t>
    </r>
    <r>
      <rPr>
        <rFont val="IBM Plex Sans"/>
        <b/>
        <i/>
        <color rgb="FF000000"/>
        <sz val="14.0"/>
      </rPr>
      <t>(automático)</t>
    </r>
  </si>
  <si>
    <t>Internet(VIVO)</t>
  </si>
  <si>
    <t>Gastos Livre</t>
  </si>
  <si>
    <t>Investimento</t>
  </si>
  <si>
    <r>
      <rPr>
        <rFont val="IBM Plex Sans"/>
        <b/>
        <color rgb="FF000000"/>
        <sz val="18.0"/>
      </rPr>
      <t xml:space="preserve">META DE INVESTIMENTOS </t>
    </r>
    <r>
      <rPr>
        <rFont val="IBM Plex Sans"/>
        <b/>
        <i/>
        <color rgb="FF000000"/>
        <sz val="12.0"/>
      </rPr>
      <t>(MANUAL)</t>
    </r>
  </si>
  <si>
    <r>
      <rPr>
        <rFont val="IBM Plex Sans"/>
        <b/>
        <color rgb="FF000000"/>
        <sz val="14.0"/>
      </rPr>
      <t xml:space="preserve">Quanto consigo investir por mês </t>
    </r>
    <r>
      <rPr>
        <rFont val="IBM Plex Sans"/>
        <b/>
        <i/>
        <color rgb="FF000000"/>
        <sz val="14.0"/>
      </rPr>
      <t>(manual)</t>
    </r>
  </si>
  <si>
    <r>
      <rPr>
        <rFont val="IBM Plex Sans"/>
        <b/>
        <color rgb="FF000000"/>
        <sz val="14.0"/>
      </rPr>
      <t xml:space="preserve">Quanto tenho investido </t>
    </r>
    <r>
      <rPr>
        <rFont val="IBM Plex Sans"/>
        <b/>
        <i/>
        <color rgb="FF000000"/>
        <sz val="14.0"/>
      </rPr>
      <t>(automático)</t>
    </r>
  </si>
  <si>
    <r>
      <rPr>
        <rFont val="IBM Plex Sans"/>
        <b/>
        <color rgb="FF000000"/>
        <sz val="14.0"/>
      </rPr>
      <t xml:space="preserve">Quanto falta para atingir a meta </t>
    </r>
    <r>
      <rPr>
        <rFont val="IBM Plex Sans"/>
        <b/>
        <i/>
        <color rgb="FF000000"/>
        <sz val="14.0"/>
      </rPr>
      <t>(automático)</t>
    </r>
  </si>
  <si>
    <t>JOÃO</t>
  </si>
  <si>
    <t>JUL</t>
  </si>
  <si>
    <t>AGO</t>
  </si>
  <si>
    <t>SET</t>
  </si>
  <si>
    <t>OUT</t>
  </si>
  <si>
    <t>NOV</t>
  </si>
  <si>
    <t>DEZ</t>
  </si>
  <si>
    <t>JAN</t>
  </si>
  <si>
    <t>FEV</t>
  </si>
  <si>
    <t>MAR</t>
  </si>
  <si>
    <t>ABR</t>
  </si>
  <si>
    <t>MAI</t>
  </si>
  <si>
    <t>JUN</t>
  </si>
  <si>
    <t>SAÍDAS</t>
  </si>
  <si>
    <t xml:space="preserve">Tênis </t>
  </si>
  <si>
    <t>Cabine</t>
  </si>
  <si>
    <t>spotify</t>
  </si>
  <si>
    <t>Carteira</t>
  </si>
  <si>
    <t>Ventilador</t>
  </si>
  <si>
    <t>Retiro</t>
  </si>
  <si>
    <t>Fotógrafo</t>
  </si>
  <si>
    <t>Cadeira</t>
  </si>
  <si>
    <t>Ca</t>
  </si>
  <si>
    <t>Total</t>
  </si>
  <si>
    <t>ENTRADAS</t>
  </si>
  <si>
    <t>Seguro</t>
  </si>
  <si>
    <t>Salário</t>
  </si>
  <si>
    <t>Hora extra</t>
  </si>
  <si>
    <t>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</si>
</sst>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R$&quot;* #,##0.00_-;\-&quot;R$&quot;* #,##0.00_-;_-&quot;R$&quot;* &quot;-&quot;??_-;_-@"/>
    <numFmt numFmtId="165" formatCode="[$R$ -416]#,##0.00"/>
  </numFmts>
  <fonts count="17">
    <font>
      <sz val="11.0"/>
      <color rgb="FF000000"/>
      <name val="Calibri"/>
      <scheme val="minor"/>
    </font>
    <font>
      <sz val="11.0"/>
      <color rgb="FF000000"/>
      <name val="IBM Plex Sans"/>
    </font>
    <font>
      <b/>
      <sz val="24.0"/>
      <color rgb="FF000000"/>
      <name val="IBM Plex Sans"/>
    </font>
    <font/>
    <font>
      <b/>
      <sz val="14.0"/>
      <color rgb="FFFFFFFF"/>
      <name val="IBM Plex Sans"/>
    </font>
    <font>
      <b/>
      <sz val="14.0"/>
      <color rgb="FF000000"/>
      <name val="IBM Plex Sans"/>
    </font>
    <font>
      <b/>
      <sz val="12.0"/>
      <color rgb="FF000000"/>
      <name val="IBM Plex Sans"/>
    </font>
    <font>
      <sz val="14.0"/>
      <color rgb="FF000000"/>
      <name val="IBM Plex Sans"/>
    </font>
    <font>
      <b/>
      <sz val="11.0"/>
      <color rgb="FF000000"/>
      <name val="IBM Plex Sans"/>
    </font>
    <font>
      <u/>
      <sz val="11.0"/>
      <color rgb="FF0000FF"/>
      <name val="IBM Plex Sans"/>
    </font>
    <font>
      <b/>
      <sz val="12.0"/>
      <color rgb="FFFFFFFF"/>
      <name val="IBM Plex Sans"/>
    </font>
    <font>
      <b/>
      <sz val="16.0"/>
      <color rgb="FFFFFFFF"/>
      <name val="IBM Plex Sans"/>
    </font>
    <font>
      <b/>
      <sz val="18.0"/>
      <color rgb="FF000000"/>
      <name val="IBM Plex Sans"/>
    </font>
    <font>
      <b/>
      <sz val="16.0"/>
      <color rgb="FF000000"/>
      <name val="IBM Plex Sans"/>
    </font>
    <font>
      <color theme="1"/>
      <name val="Calibri"/>
      <scheme val="minor"/>
    </font>
    <font>
      <b/>
      <color theme="1"/>
      <name val="Arial"/>
    </font>
    <font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2B373D"/>
        <bgColor rgb="FF2B373D"/>
      </patternFill>
    </fill>
    <fill>
      <patternFill patternType="solid">
        <fgColor rgb="FFEFEFEF"/>
        <bgColor rgb="FFEFEFEF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70AD46"/>
        <bgColor rgb="FF70AD46"/>
      </patternFill>
    </fill>
    <fill>
      <patternFill patternType="solid">
        <fgColor rgb="FF4A86E8"/>
        <bgColor rgb="FF4A86E8"/>
      </patternFill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</fills>
  <borders count="28">
    <border/>
    <border>
      <left/>
      <right/>
      <top/>
      <bottom/>
    </border>
    <border>
      <left/>
      <top/>
      <bottom/>
    </border>
    <border>
      <top/>
      <bottom/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</border>
    <border>
      <left/>
      <right/>
      <top style="hair">
        <color rgb="FF000000"/>
      </top>
      <bottom style="hair">
        <color rgb="FF000000"/>
      </bottom>
    </border>
    <border>
      <left/>
      <right style="hair">
        <color rgb="FF000000"/>
      </right>
      <top/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top style="hair">
        <color rgb="FF000000"/>
      </top>
    </border>
    <border>
      <left style="hair">
        <color rgb="FF000000"/>
      </left>
    </border>
    <border>
      <right style="hair">
        <color rgb="FF000000"/>
      </right>
    </border>
    <border>
      <left style="hair">
        <color rgb="FF000000"/>
      </lef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top style="hair">
        <color rgb="FF000000"/>
      </top>
    </border>
    <border>
      <bottom style="hair">
        <color rgb="FF000000"/>
      </bottom>
    </border>
    <border>
      <left style="hair">
        <color rgb="FF000000"/>
      </left>
      <top/>
    </border>
    <border>
      <right style="hair">
        <color rgb="FF000000"/>
      </right>
      <top/>
    </border>
    <border>
      <left/>
      <right/>
      <top/>
    </border>
    <border>
      <right/>
      <top/>
      <bottom/>
    </border>
    <border>
      <left/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bottom"/>
    </xf>
    <xf borderId="2" fillId="3" fontId="2" numFmtId="0" xfId="0" applyAlignment="1" applyBorder="1" applyFill="1" applyFont="1">
      <alignment horizontal="center" vertical="center"/>
    </xf>
    <xf borderId="3" fillId="0" fontId="3" numFmtId="0" xfId="0" applyAlignment="1" applyBorder="1" applyFont="1">
      <alignment vertical="center"/>
    </xf>
    <xf borderId="1" fillId="2" fontId="4" numFmtId="164" xfId="0" applyAlignment="1" applyBorder="1" applyFont="1" applyNumberFormat="1">
      <alignment horizontal="center" vertical="center"/>
    </xf>
    <xf borderId="1" fillId="2" fontId="5" numFmtId="164" xfId="0" applyAlignment="1" applyBorder="1" applyFont="1" applyNumberFormat="1">
      <alignment horizontal="center" vertical="center"/>
    </xf>
    <xf borderId="1" fillId="2" fontId="6" numFmtId="164" xfId="0" applyAlignment="1" applyBorder="1" applyFont="1" applyNumberFormat="1">
      <alignment horizontal="center" vertical="center"/>
    </xf>
    <xf borderId="1" fillId="2" fontId="7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2" fillId="4" fontId="4" numFmtId="0" xfId="0" applyAlignment="1" applyBorder="1" applyFill="1" applyFont="1">
      <alignment horizontal="center" vertical="center"/>
    </xf>
    <xf borderId="1" fillId="4" fontId="4" numFmtId="0" xfId="0" applyAlignment="1" applyBorder="1" applyFont="1">
      <alignment horizontal="center" vertical="center"/>
    </xf>
    <xf borderId="1" fillId="2" fontId="1" numFmtId="164" xfId="0" applyAlignment="1" applyBorder="1" applyFont="1" applyNumberFormat="1">
      <alignment horizontal="left" vertical="center"/>
    </xf>
    <xf borderId="4" fillId="0" fontId="1" numFmtId="164" xfId="0" applyAlignment="1" applyBorder="1" applyFont="1" applyNumberFormat="1">
      <alignment horizontal="left" vertical="center"/>
    </xf>
    <xf borderId="5" fillId="0" fontId="3" numFmtId="0" xfId="0" applyAlignment="1" applyBorder="1" applyFont="1">
      <alignment vertical="center"/>
    </xf>
    <xf borderId="5" fillId="0" fontId="1" numFmtId="164" xfId="0" applyAlignment="1" applyBorder="1" applyFont="1" applyNumberFormat="1">
      <alignment horizontal="center" readingOrder="0" vertical="center"/>
    </xf>
    <xf borderId="6" fillId="0" fontId="1" numFmtId="164" xfId="0" applyAlignment="1" applyBorder="1" applyFont="1" applyNumberFormat="1">
      <alignment horizontal="left" readingOrder="0" vertical="center"/>
    </xf>
    <xf borderId="6" fillId="0" fontId="1" numFmtId="164" xfId="0" applyAlignment="1" applyBorder="1" applyFont="1" applyNumberFormat="1">
      <alignment horizontal="left" vertical="center"/>
    </xf>
    <xf borderId="5" fillId="0" fontId="1" numFmtId="164" xfId="0" applyAlignment="1" applyBorder="1" applyFont="1" applyNumberFormat="1">
      <alignment horizontal="center" vertical="center"/>
    </xf>
    <xf borderId="2" fillId="2" fontId="1" numFmtId="164" xfId="0" applyAlignment="1" applyBorder="1" applyFont="1" applyNumberFormat="1">
      <alignment horizontal="left" vertical="center"/>
    </xf>
    <xf borderId="4" fillId="5" fontId="1" numFmtId="164" xfId="0" applyAlignment="1" applyBorder="1" applyFill="1" applyFont="1" applyNumberFormat="1">
      <alignment horizontal="left" readingOrder="0" vertical="center"/>
    </xf>
    <xf borderId="5" fillId="5" fontId="1" numFmtId="164" xfId="0" applyAlignment="1" applyBorder="1" applyFont="1" applyNumberFormat="1">
      <alignment horizontal="left" vertical="center"/>
    </xf>
    <xf borderId="5" fillId="5" fontId="1" numFmtId="164" xfId="0" applyAlignment="1" applyBorder="1" applyFont="1" applyNumberFormat="1">
      <alignment horizontal="center" vertical="center"/>
    </xf>
    <xf borderId="7" fillId="5" fontId="1" numFmtId="164" xfId="0" applyAlignment="1" applyBorder="1" applyFont="1" applyNumberFormat="1">
      <alignment horizontal="center" readingOrder="0" vertical="center"/>
    </xf>
    <xf borderId="6" fillId="5" fontId="1" numFmtId="164" xfId="0" applyAlignment="1" applyBorder="1" applyFont="1" applyNumberFormat="1">
      <alignment horizontal="left" readingOrder="0" vertical="center"/>
    </xf>
    <xf borderId="6" fillId="5" fontId="1" numFmtId="164" xfId="0" applyAlignment="1" applyBorder="1" applyFont="1" applyNumberFormat="1">
      <alignment horizontal="left" vertical="center"/>
    </xf>
    <xf borderId="7" fillId="5" fontId="1" numFmtId="164" xfId="0" applyAlignment="1" applyBorder="1" applyFont="1" applyNumberFormat="1">
      <alignment horizontal="center" vertical="center"/>
    </xf>
    <xf borderId="4" fillId="5" fontId="1" numFmtId="164" xfId="0" applyAlignment="1" applyBorder="1" applyFont="1" applyNumberFormat="1">
      <alignment horizontal="left" vertical="center"/>
    </xf>
    <xf borderId="8" fillId="0" fontId="1" numFmtId="164" xfId="0" applyAlignment="1" applyBorder="1" applyFont="1" applyNumberFormat="1">
      <alignment horizontal="center" vertical="center"/>
    </xf>
    <xf borderId="9" fillId="5" fontId="1" numFmtId="164" xfId="0" applyAlignment="1" applyBorder="1" applyFont="1" applyNumberFormat="1">
      <alignment horizontal="center" vertical="center"/>
    </xf>
    <xf borderId="6" fillId="5" fontId="1" numFmtId="164" xfId="0" applyAlignment="1" applyBorder="1" applyFont="1" applyNumberFormat="1">
      <alignment horizontal="center" vertical="center"/>
    </xf>
    <xf borderId="1" fillId="2" fontId="8" numFmtId="0" xfId="0" applyAlignment="1" applyBorder="1" applyFont="1">
      <alignment horizontal="left" shrinkToFit="0" vertical="center" wrapText="1"/>
    </xf>
    <xf borderId="4" fillId="3" fontId="8" numFmtId="0" xfId="0" applyAlignment="1" applyBorder="1" applyFont="1">
      <alignment horizontal="left" shrinkToFit="0" vertical="center" wrapText="1"/>
    </xf>
    <xf borderId="7" fillId="3" fontId="8" numFmtId="164" xfId="0" applyAlignment="1" applyBorder="1" applyFont="1" applyNumberFormat="1">
      <alignment horizontal="center" vertical="center"/>
    </xf>
    <xf borderId="10" fillId="3" fontId="8" numFmtId="164" xfId="0" applyAlignment="1" applyBorder="1" applyFont="1" applyNumberFormat="1">
      <alignment horizontal="center" vertical="center"/>
    </xf>
    <xf borderId="1" fillId="2" fontId="8" numFmtId="0" xfId="0" applyAlignment="1" applyBorder="1" applyFont="1">
      <alignment horizontal="center" vertical="center"/>
    </xf>
    <xf borderId="1" fillId="2" fontId="8" numFmtId="164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4" fillId="6" fontId="6" numFmtId="0" xfId="0" applyAlignment="1" applyBorder="1" applyFill="1" applyFont="1">
      <alignment horizontal="center" vertical="center"/>
    </xf>
    <xf borderId="11" fillId="0" fontId="3" numFmtId="0" xfId="0" applyAlignment="1" applyBorder="1" applyFont="1">
      <alignment vertical="center"/>
    </xf>
    <xf borderId="9" fillId="6" fontId="1" numFmtId="164" xfId="0" applyAlignment="1" applyBorder="1" applyFont="1" applyNumberFormat="1">
      <alignment horizontal="center" vertical="center"/>
    </xf>
    <xf borderId="7" fillId="6" fontId="1" numFmtId="164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left" vertical="center"/>
    </xf>
    <xf borderId="12" fillId="7" fontId="1" numFmtId="0" xfId="0" applyAlignment="1" applyBorder="1" applyFill="1" applyFont="1">
      <alignment horizontal="left" readingOrder="0" vertical="center"/>
    </xf>
    <xf borderId="6" fillId="7" fontId="1" numFmtId="164" xfId="0" applyAlignment="1" applyBorder="1" applyFont="1" applyNumberFormat="1">
      <alignment horizontal="left" vertical="center"/>
    </xf>
    <xf borderId="6" fillId="7" fontId="1" numFmtId="164" xfId="0" applyAlignment="1" applyBorder="1" applyFont="1" applyNumberFormat="1">
      <alignment horizontal="center" vertical="center"/>
    </xf>
    <xf borderId="6" fillId="7" fontId="1" numFmtId="164" xfId="0" applyAlignment="1" applyBorder="1" applyFont="1" applyNumberFormat="1">
      <alignment horizontal="center" readingOrder="0" vertical="center"/>
    </xf>
    <xf borderId="2" fillId="2" fontId="1" numFmtId="0" xfId="0" applyAlignment="1" applyBorder="1" applyFont="1">
      <alignment horizontal="left" vertical="center"/>
    </xf>
    <xf borderId="5" fillId="7" fontId="1" numFmtId="0" xfId="0" applyAlignment="1" applyBorder="1" applyFont="1">
      <alignment horizontal="left" readingOrder="0" vertical="center"/>
    </xf>
    <xf borderId="5" fillId="5" fontId="1" numFmtId="164" xfId="0" applyAlignment="1" applyBorder="1" applyFont="1" applyNumberFormat="1">
      <alignment horizontal="left" readingOrder="0" vertical="center"/>
    </xf>
    <xf borderId="6" fillId="5" fontId="1" numFmtId="164" xfId="0" applyAlignment="1" applyBorder="1" applyFont="1" applyNumberFormat="1">
      <alignment horizontal="center" readingOrder="0" vertical="center"/>
    </xf>
    <xf borderId="5" fillId="0" fontId="1" numFmtId="164" xfId="0" applyAlignment="1" applyBorder="1" applyFont="1" applyNumberFormat="1">
      <alignment horizontal="left" vertical="center"/>
    </xf>
    <xf borderId="6" fillId="0" fontId="1" numFmtId="164" xfId="0" applyAlignment="1" applyBorder="1" applyFont="1" applyNumberFormat="1">
      <alignment horizontal="center" vertical="center"/>
    </xf>
    <xf borderId="6" fillId="0" fontId="9" numFmtId="164" xfId="0" applyAlignment="1" applyBorder="1" applyFont="1" applyNumberFormat="1">
      <alignment horizontal="center" readingOrder="0" vertical="center"/>
    </xf>
    <xf borderId="6" fillId="0" fontId="1" numFmtId="164" xfId="0" applyAlignment="1" applyBorder="1" applyFont="1" applyNumberFormat="1">
      <alignment horizontal="center" readingOrder="0" vertical="center"/>
    </xf>
    <xf borderId="13" fillId="7" fontId="1" numFmtId="0" xfId="0" applyAlignment="1" applyBorder="1" applyFont="1">
      <alignment horizontal="left" readingOrder="0" vertical="center"/>
    </xf>
    <xf borderId="6" fillId="7" fontId="1" numFmtId="0" xfId="0" applyAlignment="1" applyBorder="1" applyFont="1">
      <alignment horizontal="left" readingOrder="0" vertical="center"/>
    </xf>
    <xf borderId="6" fillId="0" fontId="1" numFmtId="164" xfId="0" applyAlignment="1" applyBorder="1" applyFont="1" applyNumberFormat="1">
      <alignment horizontal="center" readingOrder="0" vertical="center"/>
    </xf>
    <xf borderId="1" fillId="2" fontId="8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horizontal="center" vertical="center"/>
    </xf>
    <xf borderId="12" fillId="7" fontId="1" numFmtId="0" xfId="0" applyAlignment="1" applyBorder="1" applyFont="1">
      <alignment horizontal="left" vertical="center"/>
    </xf>
    <xf borderId="6" fillId="5" fontId="1" numFmtId="0" xfId="0" applyAlignment="1" applyBorder="1" applyFont="1">
      <alignment horizontal="left" vertical="center"/>
    </xf>
    <xf borderId="13" fillId="0" fontId="3" numFmtId="0" xfId="0" applyAlignment="1" applyBorder="1" applyFont="1">
      <alignment vertical="center"/>
    </xf>
    <xf borderId="6" fillId="0" fontId="1" numFmtId="0" xfId="0" applyAlignment="1" applyBorder="1" applyFont="1">
      <alignment horizontal="left" vertical="center"/>
    </xf>
    <xf borderId="6" fillId="7" fontId="1" numFmtId="0" xfId="0" applyAlignment="1" applyBorder="1" applyFont="1">
      <alignment horizontal="left" vertical="center"/>
    </xf>
    <xf borderId="7" fillId="7" fontId="1" numFmtId="164" xfId="0" applyAlignment="1" applyBorder="1" applyFont="1" applyNumberFormat="1">
      <alignment horizontal="center" vertical="center"/>
    </xf>
    <xf borderId="12" fillId="7" fontId="8" numFmtId="0" xfId="0" applyAlignment="1" applyBorder="1" applyFont="1">
      <alignment horizontal="left" vertical="center"/>
    </xf>
    <xf borderId="6" fillId="5" fontId="1" numFmtId="0" xfId="0" applyAlignment="1" applyBorder="1" applyFont="1">
      <alignment horizontal="left" readingOrder="0" vertical="center"/>
    </xf>
    <xf borderId="14" fillId="7" fontId="1" numFmtId="0" xfId="0" applyAlignment="1" applyBorder="1" applyFont="1">
      <alignment horizontal="left" vertical="center"/>
    </xf>
    <xf borderId="1" fillId="2" fontId="8" numFmtId="164" xfId="0" applyAlignment="1" applyBorder="1" applyFont="1" applyNumberFormat="1">
      <alignment horizontal="left" vertical="center"/>
    </xf>
    <xf borderId="4" fillId="8" fontId="8" numFmtId="0" xfId="0" applyAlignment="1" applyBorder="1" applyFill="1" applyFont="1">
      <alignment horizontal="left" vertical="center"/>
    </xf>
    <xf borderId="7" fillId="8" fontId="8" numFmtId="164" xfId="0" applyAlignment="1" applyBorder="1" applyFont="1" applyNumberFormat="1">
      <alignment horizontal="center" vertical="center"/>
    </xf>
    <xf borderId="15" fillId="0" fontId="3" numFmtId="0" xfId="0" applyAlignment="1" applyBorder="1" applyFont="1">
      <alignment vertical="center"/>
    </xf>
    <xf borderId="0" fillId="0" fontId="8" numFmtId="0" xfId="0" applyAlignment="1" applyFont="1">
      <alignment horizontal="center" vertical="center"/>
    </xf>
    <xf borderId="1" fillId="2" fontId="10" numFmtId="164" xfId="0" applyAlignment="1" applyBorder="1" applyFont="1" applyNumberFormat="1">
      <alignment horizontal="center" vertical="center"/>
    </xf>
    <xf borderId="4" fillId="7" fontId="1" numFmtId="0" xfId="0" applyAlignment="1" applyBorder="1" applyFont="1">
      <alignment horizontal="left" readingOrder="0" vertical="center"/>
    </xf>
    <xf borderId="7" fillId="7" fontId="1" numFmtId="164" xfId="0" applyAlignment="1" applyBorder="1" applyFont="1" applyNumberFormat="1">
      <alignment horizontal="center" readingOrder="0" vertical="center"/>
    </xf>
    <xf borderId="4" fillId="5" fontId="1" numFmtId="0" xfId="0" applyAlignment="1" applyBorder="1" applyFont="1">
      <alignment horizontal="left" vertical="center"/>
    </xf>
    <xf borderId="4" fillId="5" fontId="1" numFmtId="0" xfId="0" applyAlignment="1" applyBorder="1" applyFont="1">
      <alignment horizontal="left" readingOrder="0" vertical="center"/>
    </xf>
    <xf borderId="4" fillId="3" fontId="8" numFmtId="0" xfId="0" applyAlignment="1" applyBorder="1" applyFont="1">
      <alignment horizontal="left" vertical="center"/>
    </xf>
    <xf borderId="1" fillId="2" fontId="1" numFmtId="164" xfId="0" applyAlignment="1" applyBorder="1" applyFont="1" applyNumberFormat="1">
      <alignment horizontal="center" vertical="center"/>
    </xf>
    <xf borderId="1" fillId="2" fontId="11" numFmtId="0" xfId="0" applyAlignment="1" applyBorder="1" applyFont="1">
      <alignment horizontal="center" vertical="center"/>
    </xf>
    <xf borderId="2" fillId="9" fontId="11" numFmtId="0" xfId="0" applyAlignment="1" applyBorder="1" applyFill="1" applyFont="1">
      <alignment horizontal="center" vertical="center"/>
    </xf>
    <xf borderId="1" fillId="9" fontId="7" numFmtId="164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left" vertical="center"/>
    </xf>
    <xf borderId="6" fillId="8" fontId="6" numFmtId="164" xfId="0" applyAlignment="1" applyBorder="1" applyFont="1" applyNumberFormat="1">
      <alignment horizontal="center" vertical="center"/>
    </xf>
    <xf borderId="16" fillId="10" fontId="12" numFmtId="0" xfId="0" applyAlignment="1" applyBorder="1" applyFill="1" applyFont="1">
      <alignment horizontal="center" shrinkToFit="0" vertical="center" wrapText="1"/>
    </xf>
    <xf borderId="8" fillId="0" fontId="3" numFmtId="0" xfId="0" applyAlignment="1" applyBorder="1" applyFont="1">
      <alignment vertical="center"/>
    </xf>
    <xf borderId="17" fillId="0" fontId="3" numFmtId="0" xfId="0" applyAlignment="1" applyBorder="1" applyFont="1">
      <alignment vertical="center"/>
    </xf>
    <xf borderId="18" fillId="0" fontId="3" numFmtId="0" xfId="0" applyAlignment="1" applyBorder="1" applyFont="1">
      <alignment vertical="center"/>
    </xf>
    <xf borderId="19" fillId="0" fontId="3" numFmtId="0" xfId="0" applyAlignment="1" applyBorder="1" applyFont="1">
      <alignment vertical="center"/>
    </xf>
    <xf borderId="20" fillId="0" fontId="3" numFmtId="0" xfId="0" applyAlignment="1" applyBorder="1" applyFont="1">
      <alignment vertical="center"/>
    </xf>
    <xf borderId="1" fillId="2" fontId="12" numFmtId="0" xfId="0" applyAlignment="1" applyBorder="1" applyFont="1">
      <alignment horizontal="center" shrinkToFit="0" vertical="center" wrapText="1"/>
    </xf>
    <xf borderId="16" fillId="10" fontId="12" numFmtId="0" xfId="0" applyAlignment="1" applyBorder="1" applyFont="1">
      <alignment horizontal="center" shrinkToFit="0" vertical="bottom" wrapText="1"/>
    </xf>
    <xf borderId="16" fillId="6" fontId="5" numFmtId="0" xfId="0" applyAlignment="1" applyBorder="1" applyFont="1">
      <alignment horizontal="center" shrinkToFit="0" vertical="center" wrapText="1"/>
    </xf>
    <xf borderId="21" fillId="0" fontId="3" numFmtId="0" xfId="0" applyAlignment="1" applyBorder="1" applyFont="1">
      <alignment vertical="center"/>
    </xf>
    <xf borderId="22" fillId="0" fontId="3" numFmtId="0" xfId="0" applyAlignment="1" applyBorder="1" applyFont="1">
      <alignment vertical="center"/>
    </xf>
    <xf borderId="23" fillId="10" fontId="2" numFmtId="165" xfId="0" applyAlignment="1" applyBorder="1" applyFont="1" applyNumberFormat="1">
      <alignment horizontal="center" shrinkToFit="0" vertical="center" wrapText="1"/>
    </xf>
    <xf borderId="24" fillId="0" fontId="3" numFmtId="0" xfId="0" applyAlignment="1" applyBorder="1" applyFont="1">
      <alignment vertical="center"/>
    </xf>
    <xf borderId="16" fillId="7" fontId="13" numFmtId="165" xfId="0" applyAlignment="1" applyBorder="1" applyFont="1" applyNumberFormat="1">
      <alignment horizontal="center" vertical="center"/>
    </xf>
    <xf borderId="1" fillId="5" fontId="1" numFmtId="0" xfId="0" applyAlignment="1" applyBorder="1" applyFont="1">
      <alignment horizontal="center" vertical="center"/>
    </xf>
    <xf borderId="1" fillId="5" fontId="12" numFmtId="0" xfId="0" applyAlignment="1" applyBorder="1" applyFont="1">
      <alignment horizontal="center" shrinkToFit="0" vertical="center" wrapText="1"/>
    </xf>
    <xf borderId="25" fillId="4" fontId="4" numFmtId="0" xfId="0" applyAlignment="1" applyBorder="1" applyFont="1">
      <alignment horizontal="center" vertical="center"/>
    </xf>
    <xf borderId="26" fillId="2" fontId="1" numFmtId="0" xfId="0" applyAlignment="1" applyBorder="1" applyFont="1">
      <alignment horizontal="center" vertical="center"/>
    </xf>
    <xf borderId="12" fillId="5" fontId="1" numFmtId="164" xfId="0" applyAlignment="1" applyBorder="1" applyFont="1" applyNumberFormat="1">
      <alignment horizontal="left" vertical="center"/>
    </xf>
    <xf borderId="4" fillId="7" fontId="1" numFmtId="164" xfId="0" applyAlignment="1" applyBorder="1" applyFont="1" applyNumberFormat="1">
      <alignment horizontal="left" readingOrder="0" vertical="center"/>
    </xf>
    <xf borderId="0" fillId="7" fontId="1" numFmtId="164" xfId="0" applyAlignment="1" applyFont="1" applyNumberFormat="1">
      <alignment horizontal="left" vertical="center"/>
    </xf>
    <xf borderId="13" fillId="5" fontId="1" numFmtId="164" xfId="0" applyAlignment="1" applyBorder="1" applyFont="1" applyNumberFormat="1">
      <alignment horizontal="left" vertical="center"/>
    </xf>
    <xf borderId="6" fillId="0" fontId="14" numFmtId="0" xfId="0" applyAlignment="1" applyBorder="1" applyFont="1">
      <alignment vertical="center"/>
    </xf>
    <xf borderId="27" fillId="3" fontId="8" numFmtId="164" xfId="0" applyAlignment="1" applyBorder="1" applyFont="1" applyNumberFormat="1">
      <alignment horizontal="center" vertical="center"/>
    </xf>
    <xf borderId="0" fillId="11" fontId="15" numFmtId="0" xfId="0" applyAlignment="1" applyFill="1" applyFont="1">
      <alignment horizontal="center" vertical="center"/>
    </xf>
    <xf borderId="0" fillId="11" fontId="16" numFmtId="0" xfId="0" applyAlignment="1" applyFont="1">
      <alignment vertical="bottom"/>
    </xf>
    <xf borderId="0" fillId="11" fontId="15" numFmtId="0" xfId="0" applyAlignment="1" applyFont="1">
      <alignment horizontal="center" vertical="bottom"/>
    </xf>
    <xf borderId="0" fillId="0" fontId="16" numFmtId="0" xfId="0" applyAlignment="1" applyFont="1">
      <alignment vertical="bottom"/>
    </xf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horizontal="center" vertical="bottom"/>
    </xf>
    <xf borderId="0" fillId="0" fontId="16" numFmtId="0" xfId="0" applyAlignment="1" applyFont="1">
      <alignment horizontal="center" readingOrder="0" vertical="bottom"/>
    </xf>
    <xf borderId="0" fillId="0" fontId="16" numFmtId="0" xfId="0" applyAlignment="1" applyFont="1">
      <alignment horizontal="center" vertical="bottom"/>
    </xf>
    <xf borderId="0" fillId="0" fontId="16" numFmtId="0" xfId="0" applyAlignment="1" applyFont="1">
      <alignment readingOrder="0" vertical="bottom"/>
    </xf>
    <xf borderId="0" fillId="7" fontId="16" numFmtId="0" xfId="0" applyAlignment="1" applyFont="1">
      <alignment vertical="bottom"/>
    </xf>
    <xf borderId="0" fillId="7" fontId="15" numFmtId="0" xfId="0" applyAlignment="1" applyFont="1">
      <alignment horizontal="center" vertical="bottom"/>
    </xf>
    <xf borderId="0" fillId="7" fontId="16" numFmtId="0" xfId="0" applyAlignment="1" applyFont="1">
      <alignment horizontal="center" vertical="bottom"/>
    </xf>
    <xf borderId="0" fillId="3" fontId="16" numFmtId="0" xfId="0" applyAlignment="1" applyFont="1">
      <alignment vertical="bottom"/>
    </xf>
    <xf borderId="0" fillId="3" fontId="15" numFmtId="0" xfId="0" applyAlignment="1" applyFont="1">
      <alignment horizontal="center" vertical="bottom"/>
    </xf>
    <xf borderId="0" fillId="12" fontId="16" numFmtId="0" xfId="0" applyAlignment="1" applyFill="1" applyFont="1">
      <alignment vertical="bottom"/>
    </xf>
    <xf borderId="0" fillId="12" fontId="15" numFmtId="0" xfId="0" applyAlignment="1" applyFont="1">
      <alignment horizontal="center" vertical="bottom"/>
    </xf>
    <xf borderId="0" fillId="0" fontId="16" numFmtId="0" xfId="0" applyAlignment="1" applyFont="1">
      <alignment vertical="center"/>
    </xf>
    <xf borderId="0" fillId="13" fontId="16" numFmtId="0" xfId="0" applyAlignment="1" applyFill="1" applyFont="1">
      <alignment vertical="bottom"/>
    </xf>
    <xf borderId="25" fillId="2" fontId="8" numFmtId="0" xfId="0" applyAlignment="1" applyBorder="1" applyFont="1">
      <alignment horizontal="center" vertical="center"/>
    </xf>
  </cellXfs>
  <cellStyles count="1">
    <cellStyle xfId="0" name="Normal" builtinId="0"/>
  </cellStyles>
  <dxfs count="2">
    <dxf>
      <font>
        <sz val="11.0"/>
      </font>
      <fill>
        <patternFill patternType="solid">
          <fgColor rgb="FFB6D7A8"/>
          <bgColor rgb="FFB6D7A8"/>
        </patternFill>
      </fill>
      <border/>
    </dxf>
    <dxf>
      <font>
        <sz val="11.0"/>
      </font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cat>
            <c:strRef>
              <c:f>'2025'!$D$3:$O$3</c:f>
            </c:strRef>
          </c:cat>
          <c:val>
            <c:numRef>
              <c:f>'2025'!$D$67:$O$67</c:f>
              <c:numCache/>
            </c:numRef>
          </c:val>
        </c:ser>
        <c:ser>
          <c:idx val="1"/>
          <c:order val="1"/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cat>
            <c:strRef>
              <c:f>'2025'!$D$3:$O$3</c:f>
            </c:strRef>
          </c:cat>
          <c:val>
            <c:numRef>
              <c:f>'2025'!$D$68:$O$68</c:f>
              <c:numCache/>
            </c:numRef>
          </c:val>
        </c:ser>
        <c:ser>
          <c:idx val="2"/>
          <c:order val="2"/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cat>
            <c:strRef>
              <c:f>'2025'!$D$3:$O$3</c:f>
            </c:strRef>
          </c:cat>
          <c:val>
            <c:numRef>
              <c:f>'2025'!$D$69:$O$69</c:f>
              <c:numCache/>
            </c:numRef>
          </c:val>
        </c:ser>
        <c:ser>
          <c:idx val="3"/>
          <c:order val="3"/>
          <c:spPr>
            <a:solidFill>
              <a:srgbClr val="C27BA0"/>
            </a:solidFill>
            <a:ln cmpd="sng">
              <a:solidFill>
                <a:srgbClr val="000000"/>
              </a:solidFill>
            </a:ln>
          </c:spPr>
          <c:cat>
            <c:strRef>
              <c:f>'2025'!$D$3:$O$3</c:f>
            </c:strRef>
          </c:cat>
          <c:val>
            <c:numRef>
              <c:f>'2025'!$D$70:$O$70</c:f>
              <c:numCache/>
            </c:numRef>
          </c:val>
        </c:ser>
        <c:overlap val="100"/>
        <c:axId val="756948287"/>
        <c:axId val="424656183"/>
      </c:barChart>
      <c:catAx>
        <c:axId val="7569482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424656183"/>
      </c:catAx>
      <c:valAx>
        <c:axId val="4246561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756948287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3F3F3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Valuu versus Mapa de Finanças: seu controle inteligente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'2026 '!$B$6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'2026 '!$C$3:$O$3</c:f>
            </c:strRef>
          </c:cat>
          <c:val>
            <c:numRef>
              <c:f>'2026 '!$C$6:$O$6</c:f>
              <c:numCache/>
            </c:numRef>
          </c:val>
        </c:ser>
        <c:axId val="650870382"/>
        <c:axId val="748635300"/>
      </c:barChart>
      <c:catAx>
        <c:axId val="6508703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Mapa de Finanças: seu controle inteligente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8635300"/>
      </c:catAx>
      <c:valAx>
        <c:axId val="7486353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 Valuu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08703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209550</xdr:colOff>
      <xdr:row>74</xdr:row>
      <xdr:rowOff>19050</xdr:rowOff>
    </xdr:from>
    <xdr:ext cx="5915025" cy="3886200"/>
    <xdr:graphicFrame>
      <xdr:nvGraphicFramePr>
        <xdr:cNvPr id="2216747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209550</xdr:colOff>
      <xdr:row>76</xdr:row>
      <xdr:rowOff>19050</xdr:rowOff>
    </xdr:from>
    <xdr:ext cx="5915025" cy="3886200"/>
    <xdr:graphicFrame>
      <xdr:nvGraphicFramePr>
        <xdr:cNvPr id="1108082360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 outlineLevelRow="1"/>
  <cols>
    <col customWidth="1" min="1" max="1" width="4.43"/>
    <col customWidth="1" min="2" max="2" width="23.0"/>
    <col customWidth="1" min="3" max="3" width="27.29"/>
    <col customWidth="1" min="4" max="4" width="14.0"/>
    <col customWidth="1" min="5" max="15" width="14.71"/>
    <col customWidth="1" min="16" max="27" width="9.14"/>
  </cols>
  <sheetData>
    <row r="1" ht="17.25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40.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5"/>
      <c r="B3" s="5"/>
      <c r="C3" s="6"/>
      <c r="D3" s="7" t="s">
        <v>1</v>
      </c>
      <c r="E3" s="7" t="s">
        <v>2</v>
      </c>
      <c r="F3" s="7" t="s">
        <v>3</v>
      </c>
      <c r="G3" s="7" t="s">
        <v>4</v>
      </c>
      <c r="H3" s="7" t="s">
        <v>5</v>
      </c>
      <c r="I3" s="7" t="s">
        <v>6</v>
      </c>
      <c r="J3" s="7" t="s">
        <v>7</v>
      </c>
      <c r="K3" s="7" t="s">
        <v>8</v>
      </c>
      <c r="L3" s="7" t="s">
        <v>9</v>
      </c>
      <c r="M3" s="7" t="s">
        <v>10</v>
      </c>
      <c r="N3" s="7" t="s">
        <v>11</v>
      </c>
      <c r="O3" s="7" t="s">
        <v>12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9"/>
      <c r="B4" s="10" t="s">
        <v>13</v>
      </c>
      <c r="C4" s="4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9.5" customHeight="1">
      <c r="A5" s="12"/>
      <c r="B5" s="13" t="s">
        <v>14</v>
      </c>
      <c r="C5" s="14"/>
      <c r="D5" s="15">
        <v>1908.16</v>
      </c>
      <c r="E5" s="15">
        <v>2462.0</v>
      </c>
      <c r="F5" s="15">
        <v>2378.57</v>
      </c>
      <c r="G5" s="15">
        <v>2378.57</v>
      </c>
      <c r="H5" s="15">
        <v>2378.57</v>
      </c>
      <c r="I5" s="15">
        <v>2378.57</v>
      </c>
      <c r="J5" s="15">
        <v>2378.57</v>
      </c>
      <c r="K5" s="15">
        <v>2559.0</v>
      </c>
      <c r="L5" s="15">
        <v>2378.57</v>
      </c>
      <c r="M5" s="15">
        <v>2493.23</v>
      </c>
      <c r="N5" s="15">
        <v>2493.23</v>
      </c>
      <c r="O5" s="15">
        <v>2493.23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9.5" customHeight="1">
      <c r="A6" s="12"/>
      <c r="B6" s="16" t="s">
        <v>15</v>
      </c>
      <c r="C6" s="17"/>
      <c r="D6" s="18"/>
      <c r="E6" s="15">
        <v>819.0</v>
      </c>
      <c r="F6" s="15">
        <v>819.0</v>
      </c>
      <c r="G6" s="15">
        <v>819.0</v>
      </c>
      <c r="H6" s="15">
        <v>819.0</v>
      </c>
      <c r="I6" s="15">
        <v>819.0</v>
      </c>
      <c r="J6" s="15">
        <v>819.0</v>
      </c>
      <c r="K6" s="15">
        <v>869.0</v>
      </c>
      <c r="L6" s="15">
        <v>819.0</v>
      </c>
      <c r="M6" s="15">
        <v>819.0</v>
      </c>
      <c r="N6" s="15">
        <v>819.0</v>
      </c>
      <c r="O6" s="15">
        <v>819.0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9.5" customHeight="1">
      <c r="A7" s="19"/>
      <c r="B7" s="20" t="s">
        <v>16</v>
      </c>
      <c r="C7" s="21"/>
      <c r="D7" s="22"/>
      <c r="E7" s="23">
        <v>338.0</v>
      </c>
      <c r="F7" s="23">
        <v>338.0</v>
      </c>
      <c r="G7" s="23">
        <v>338.0</v>
      </c>
      <c r="H7" s="23">
        <v>338.0</v>
      </c>
      <c r="I7" s="23">
        <v>338.0</v>
      </c>
      <c r="J7" s="23">
        <v>338.0</v>
      </c>
      <c r="K7" s="23">
        <v>338.0</v>
      </c>
      <c r="L7" s="23">
        <v>338.0</v>
      </c>
      <c r="M7" s="23">
        <v>338.0</v>
      </c>
      <c r="N7" s="23">
        <v>338.0</v>
      </c>
      <c r="O7" s="23">
        <v>338.0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9.5" customHeight="1">
      <c r="A8" s="12"/>
      <c r="B8" s="24" t="s">
        <v>17</v>
      </c>
      <c r="C8" s="25"/>
      <c r="D8" s="26"/>
      <c r="E8" s="26"/>
      <c r="F8" s="26"/>
      <c r="G8" s="26"/>
      <c r="H8" s="26"/>
      <c r="I8" s="23">
        <v>240.0</v>
      </c>
      <c r="J8" s="26"/>
      <c r="K8" s="26"/>
      <c r="L8" s="26"/>
      <c r="M8" s="26"/>
      <c r="N8" s="26"/>
      <c r="O8" s="26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9.5" customHeight="1">
      <c r="A9" s="12"/>
      <c r="B9" s="13" t="s">
        <v>18</v>
      </c>
      <c r="C9" s="14"/>
      <c r="D9" s="18">
        <v>0.0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9.5" customHeight="1">
      <c r="A10" s="12"/>
      <c r="B10" s="27" t="s">
        <v>19</v>
      </c>
      <c r="C10" s="14"/>
      <c r="D10" s="26"/>
      <c r="E10" s="18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9.5" customHeight="1">
      <c r="A11" s="12"/>
      <c r="B11" s="13"/>
      <c r="C11" s="14"/>
      <c r="D11" s="18"/>
      <c r="E11" s="18"/>
      <c r="G11" s="18"/>
      <c r="H11" s="18"/>
      <c r="I11" s="18"/>
      <c r="J11" s="18"/>
      <c r="K11" s="18"/>
      <c r="L11" s="18"/>
      <c r="M11" s="18"/>
      <c r="N11" s="28"/>
      <c r="O11" s="1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9.5" customHeight="1">
      <c r="A12" s="12"/>
      <c r="B12" s="27"/>
      <c r="C12" s="14"/>
      <c r="D12" s="26"/>
      <c r="E12" s="26"/>
      <c r="F12" s="26"/>
      <c r="G12" s="26"/>
      <c r="H12" s="26"/>
      <c r="I12" s="26"/>
      <c r="J12" s="26"/>
      <c r="K12" s="26"/>
      <c r="L12" s="26"/>
      <c r="M12" s="29"/>
      <c r="N12" s="30"/>
      <c r="O12" s="26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9.5" customHeight="1">
      <c r="A13" s="31"/>
      <c r="B13" s="32" t="s">
        <v>20</v>
      </c>
      <c r="C13" s="14"/>
      <c r="D13" s="33">
        <f t="shared" ref="D13:M13" si="1">SUM(D5:D11)</f>
        <v>1908.16</v>
      </c>
      <c r="E13" s="33">
        <f t="shared" si="1"/>
        <v>3619</v>
      </c>
      <c r="F13" s="33">
        <f t="shared" si="1"/>
        <v>3535.57</v>
      </c>
      <c r="G13" s="33">
        <f t="shared" si="1"/>
        <v>3535.57</v>
      </c>
      <c r="H13" s="33">
        <f t="shared" si="1"/>
        <v>3535.57</v>
      </c>
      <c r="I13" s="33">
        <f t="shared" si="1"/>
        <v>3775.57</v>
      </c>
      <c r="J13" s="33">
        <f t="shared" si="1"/>
        <v>3535.57</v>
      </c>
      <c r="K13" s="33">
        <f t="shared" si="1"/>
        <v>3766</v>
      </c>
      <c r="L13" s="33">
        <f t="shared" si="1"/>
        <v>3535.57</v>
      </c>
      <c r="M13" s="33">
        <f t="shared" si="1"/>
        <v>3650.23</v>
      </c>
      <c r="N13" s="34">
        <f>SUM(N5:N12)</f>
        <v>3650.23</v>
      </c>
      <c r="O13" s="34">
        <f>SUM(O5:O11)</f>
        <v>3650.23</v>
      </c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</row>
    <row r="14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</row>
    <row r="15">
      <c r="A15" s="9"/>
      <c r="B15" s="10" t="s">
        <v>21</v>
      </c>
      <c r="C15" s="4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37"/>
      <c r="B16" s="38" t="s">
        <v>22</v>
      </c>
      <c r="C16" s="39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1.75" customHeight="1">
      <c r="A17" s="42"/>
      <c r="B17" s="43" t="s">
        <v>23</v>
      </c>
      <c r="C17" s="44"/>
      <c r="D17" s="45">
        <v>0.0</v>
      </c>
      <c r="E17" s="46">
        <v>300.0</v>
      </c>
      <c r="F17" s="46">
        <v>320.0</v>
      </c>
      <c r="G17" s="46">
        <v>370.0</v>
      </c>
      <c r="H17" s="46">
        <v>370.0</v>
      </c>
      <c r="I17" s="46">
        <v>370.0</v>
      </c>
      <c r="J17" s="46">
        <v>370.0</v>
      </c>
      <c r="K17" s="46">
        <v>370.0</v>
      </c>
      <c r="L17" s="46">
        <v>370.0</v>
      </c>
      <c r="M17" s="46">
        <v>370.0</v>
      </c>
      <c r="N17" s="46">
        <v>370.0</v>
      </c>
      <c r="O17" s="46">
        <v>370.0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1.75" customHeight="1">
      <c r="A18" s="47"/>
      <c r="B18" s="48" t="s">
        <v>24</v>
      </c>
      <c r="C18" s="49"/>
      <c r="D18" s="30">
        <v>0.0</v>
      </c>
      <c r="E18" s="30"/>
      <c r="F18" s="30"/>
      <c r="G18" s="30"/>
      <c r="H18" s="50"/>
      <c r="I18" s="50"/>
      <c r="J18" s="30"/>
      <c r="K18" s="30"/>
      <c r="L18" s="30"/>
      <c r="M18" s="50"/>
      <c r="N18" s="50">
        <v>120.0</v>
      </c>
      <c r="O18" s="50">
        <v>120.0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1.75" customHeight="1">
      <c r="A19" s="47"/>
      <c r="B19" s="48" t="s">
        <v>25</v>
      </c>
      <c r="C19" s="51"/>
      <c r="D19" s="52"/>
      <c r="E19" s="53">
        <v>600.0</v>
      </c>
      <c r="F19" s="53">
        <v>120.0</v>
      </c>
      <c r="G19" s="54">
        <v>100.0</v>
      </c>
      <c r="H19" s="54">
        <v>50.0</v>
      </c>
      <c r="I19" s="54">
        <v>0.0</v>
      </c>
      <c r="J19" s="54">
        <v>0.0</v>
      </c>
      <c r="K19" s="54">
        <v>0.0</v>
      </c>
      <c r="L19" s="54">
        <v>0.0</v>
      </c>
      <c r="M19" s="54">
        <v>0.0</v>
      </c>
      <c r="N19" s="54"/>
      <c r="O19" s="54">
        <v>0.0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1.75" customHeight="1">
      <c r="A20" s="42"/>
      <c r="B20" s="55" t="s">
        <v>26</v>
      </c>
      <c r="C20" s="25"/>
      <c r="D20" s="30"/>
      <c r="E20" s="30"/>
      <c r="F20" s="50">
        <v>0.0</v>
      </c>
      <c r="G20" s="50">
        <v>0.0</v>
      </c>
      <c r="H20" s="50">
        <v>85.0</v>
      </c>
      <c r="I20" s="50">
        <v>120.0</v>
      </c>
      <c r="J20" s="50">
        <v>120.0</v>
      </c>
      <c r="K20" s="50">
        <v>120.0</v>
      </c>
      <c r="L20" s="50">
        <v>120.0</v>
      </c>
      <c r="M20" s="50">
        <v>120.0</v>
      </c>
      <c r="N20" s="50">
        <v>120.0</v>
      </c>
      <c r="O20" s="50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1.75" customHeight="1">
      <c r="A21" s="42"/>
      <c r="B21" s="56" t="s">
        <v>27</v>
      </c>
      <c r="C21" s="17"/>
      <c r="D21" s="52"/>
      <c r="E21" s="52"/>
      <c r="F21" s="52"/>
      <c r="G21" s="52"/>
      <c r="H21" s="57"/>
      <c r="I21" s="57"/>
      <c r="J21" s="52"/>
      <c r="K21" s="52"/>
      <c r="L21" s="57">
        <v>120.0</v>
      </c>
      <c r="M21" s="57"/>
      <c r="N21" s="57"/>
      <c r="O21" s="52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21.75" customHeight="1">
      <c r="A22" s="58"/>
      <c r="B22" s="32" t="s">
        <v>28</v>
      </c>
      <c r="C22" s="14"/>
      <c r="D22" s="33">
        <f t="shared" ref="D22:O22" si="2">SUM(D17:D21)</f>
        <v>0</v>
      </c>
      <c r="E22" s="33">
        <f t="shared" si="2"/>
        <v>900</v>
      </c>
      <c r="F22" s="33">
        <f t="shared" si="2"/>
        <v>440</v>
      </c>
      <c r="G22" s="33">
        <f t="shared" si="2"/>
        <v>470</v>
      </c>
      <c r="H22" s="33">
        <f t="shared" si="2"/>
        <v>505</v>
      </c>
      <c r="I22" s="33">
        <f t="shared" si="2"/>
        <v>490</v>
      </c>
      <c r="J22" s="33">
        <f t="shared" si="2"/>
        <v>490</v>
      </c>
      <c r="K22" s="33">
        <f t="shared" si="2"/>
        <v>490</v>
      </c>
      <c r="L22" s="33">
        <f t="shared" si="2"/>
        <v>610</v>
      </c>
      <c r="M22" s="33">
        <f t="shared" si="2"/>
        <v>490</v>
      </c>
      <c r="N22" s="33">
        <f t="shared" si="2"/>
        <v>610</v>
      </c>
      <c r="O22" s="33">
        <f t="shared" si="2"/>
        <v>490</v>
      </c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</row>
    <row r="23" ht="15.7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</row>
    <row r="24" ht="15.75" hidden="1" customHeight="1" outlineLevel="1">
      <c r="A24" s="59"/>
      <c r="B24" s="38" t="s">
        <v>29</v>
      </c>
      <c r="C24" s="39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8.75" hidden="1" customHeight="1" outlineLevel="1">
      <c r="A25" s="42"/>
      <c r="B25" s="60"/>
      <c r="C25" s="61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8.75" hidden="1" customHeight="1" outlineLevel="1">
      <c r="A26" s="42"/>
      <c r="B26" s="62"/>
      <c r="C26" s="63"/>
      <c r="D26" s="18">
        <v>0.0</v>
      </c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8.75" hidden="1" customHeight="1" outlineLevel="1">
      <c r="A27" s="42"/>
      <c r="B27" s="64"/>
      <c r="C27" s="63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8.75" hidden="1" customHeight="1" outlineLevel="1">
      <c r="A28" s="42"/>
      <c r="B28" s="64"/>
      <c r="C28" s="63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8.75" hidden="1" customHeight="1" outlineLevel="1">
      <c r="A29" s="42"/>
      <c r="B29" s="60"/>
      <c r="C29" s="61"/>
      <c r="D29" s="26">
        <v>0.0</v>
      </c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8.75" hidden="1" customHeight="1" outlineLevel="1">
      <c r="A30" s="42"/>
      <c r="B30" s="62"/>
      <c r="C30" s="64"/>
      <c r="D30" s="65">
        <v>0.0</v>
      </c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8.75" hidden="1" customHeight="1" outlineLevel="1">
      <c r="A31" s="42"/>
      <c r="B31" s="66"/>
      <c r="C31" s="67"/>
      <c r="D31" s="26">
        <v>0.0</v>
      </c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8.75" hidden="1" customHeight="1" outlineLevel="1">
      <c r="A32" s="42"/>
      <c r="B32" s="62"/>
      <c r="C32" s="64"/>
      <c r="D32" s="65">
        <v>0.0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8.75" hidden="1" customHeight="1" outlineLevel="1">
      <c r="A33" s="42"/>
      <c r="B33" s="60"/>
      <c r="C33" s="61"/>
      <c r="D33" s="26">
        <v>0.0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8.75" hidden="1" customHeight="1" outlineLevel="1">
      <c r="A34" s="42"/>
      <c r="B34" s="62"/>
      <c r="C34" s="64"/>
      <c r="D34" s="65">
        <v>0.0</v>
      </c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8.75" hidden="1" customHeight="1" outlineLevel="1">
      <c r="A35" s="42"/>
      <c r="B35" s="68"/>
      <c r="C35" s="61"/>
      <c r="D35" s="26">
        <v>0.0</v>
      </c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8.75" hidden="1" customHeight="1" outlineLevel="1">
      <c r="A36" s="69"/>
      <c r="B36" s="70" t="s">
        <v>30</v>
      </c>
      <c r="C36" s="14"/>
      <c r="D36" s="71"/>
      <c r="E36" s="71">
        <f t="shared" ref="E36:O36" si="3">SUM(E25:E35)</f>
        <v>0</v>
      </c>
      <c r="F36" s="71">
        <f t="shared" si="3"/>
        <v>0</v>
      </c>
      <c r="G36" s="71">
        <f t="shared" si="3"/>
        <v>0</v>
      </c>
      <c r="H36" s="71">
        <f t="shared" si="3"/>
        <v>0</v>
      </c>
      <c r="I36" s="71">
        <f t="shared" si="3"/>
        <v>0</v>
      </c>
      <c r="J36" s="71">
        <f t="shared" si="3"/>
        <v>0</v>
      </c>
      <c r="K36" s="71">
        <f t="shared" si="3"/>
        <v>0</v>
      </c>
      <c r="L36" s="71">
        <f t="shared" si="3"/>
        <v>0</v>
      </c>
      <c r="M36" s="71">
        <f t="shared" si="3"/>
        <v>0</v>
      </c>
      <c r="N36" s="71">
        <f t="shared" si="3"/>
        <v>0</v>
      </c>
      <c r="O36" s="71">
        <f t="shared" si="3"/>
        <v>0</v>
      </c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</row>
    <row r="37" ht="15.75" hidden="1" customHeight="1" outlineLevel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</row>
    <row r="38" ht="15.75" hidden="1" customHeight="1" outlineLevel="1">
      <c r="A38" s="59"/>
      <c r="B38" s="38" t="s">
        <v>31</v>
      </c>
      <c r="C38" s="39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8.75" hidden="1" customHeight="1" outlineLevel="1">
      <c r="A39" s="42"/>
      <c r="B39" s="60" t="s">
        <v>32</v>
      </c>
      <c r="C39" s="64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8.75" hidden="1" customHeight="1" outlineLevel="1">
      <c r="A40" s="42"/>
      <c r="B40" s="72"/>
      <c r="C40" s="61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8.75" hidden="1" customHeight="1" outlineLevel="1">
      <c r="A41" s="42"/>
      <c r="B41" s="72"/>
      <c r="C41" s="64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8.75" hidden="1" customHeight="1" outlineLevel="1">
      <c r="A42" s="42"/>
      <c r="B42" s="62"/>
      <c r="C42" s="61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8.75" hidden="1" customHeight="1" outlineLevel="1">
      <c r="A43" s="42"/>
      <c r="B43" s="68"/>
      <c r="C43" s="64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8.75" hidden="1" customHeight="1" outlineLevel="1">
      <c r="A44" s="69"/>
      <c r="B44" s="70" t="s">
        <v>33</v>
      </c>
      <c r="C44" s="14"/>
      <c r="D44" s="71">
        <f t="shared" ref="D44:O44" si="4">SUM(D39:D43)</f>
        <v>0</v>
      </c>
      <c r="E44" s="71">
        <f t="shared" si="4"/>
        <v>0</v>
      </c>
      <c r="F44" s="71">
        <f t="shared" si="4"/>
        <v>0</v>
      </c>
      <c r="G44" s="71">
        <f t="shared" si="4"/>
        <v>0</v>
      </c>
      <c r="H44" s="71">
        <f t="shared" si="4"/>
        <v>0</v>
      </c>
      <c r="I44" s="71">
        <f t="shared" si="4"/>
        <v>0</v>
      </c>
      <c r="J44" s="71">
        <f t="shared" si="4"/>
        <v>0</v>
      </c>
      <c r="K44" s="71">
        <f t="shared" si="4"/>
        <v>0</v>
      </c>
      <c r="L44" s="71">
        <f t="shared" si="4"/>
        <v>0</v>
      </c>
      <c r="M44" s="71">
        <f t="shared" si="4"/>
        <v>0</v>
      </c>
      <c r="N44" s="71">
        <f t="shared" si="4"/>
        <v>0</v>
      </c>
      <c r="O44" s="71">
        <f t="shared" si="4"/>
        <v>0</v>
      </c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</row>
    <row r="45" ht="18.75" hidden="1" customHeight="1" outlineLevel="1">
      <c r="A45" s="35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</row>
    <row r="46" ht="18.75" hidden="1" customHeight="1" outlineLevel="1">
      <c r="A46" s="74"/>
      <c r="B46" s="38" t="s">
        <v>34</v>
      </c>
      <c r="C46" s="39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8.75" hidden="1" customHeight="1" outlineLevel="1">
      <c r="A47" s="42"/>
      <c r="B47" s="60" t="s">
        <v>35</v>
      </c>
      <c r="C47" s="64" t="s">
        <v>36</v>
      </c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8.75" hidden="1" customHeight="1" outlineLevel="1">
      <c r="A48" s="42"/>
      <c r="B48" s="62"/>
      <c r="C48" s="61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8.75" hidden="1" customHeight="1" outlineLevel="1">
      <c r="A49" s="42"/>
      <c r="B49" s="60"/>
      <c r="C49" s="64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8.75" hidden="1" customHeight="1" outlineLevel="1">
      <c r="A50" s="42"/>
      <c r="B50" s="72"/>
      <c r="C50" s="61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8.75" hidden="1" customHeight="1" outlineLevel="1">
      <c r="A51" s="42"/>
      <c r="B51" s="62"/>
      <c r="C51" s="64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8.75" hidden="1" customHeight="1" outlineLevel="1">
      <c r="A52" s="42"/>
      <c r="B52" s="60" t="s">
        <v>37</v>
      </c>
      <c r="C52" s="61" t="s">
        <v>38</v>
      </c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8.75" hidden="1" customHeight="1" outlineLevel="1">
      <c r="A53" s="42"/>
      <c r="B53" s="62"/>
      <c r="C53" s="64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8.75" hidden="1" customHeight="1" outlineLevel="1">
      <c r="A54" s="69"/>
      <c r="B54" s="70" t="s">
        <v>39</v>
      </c>
      <c r="C54" s="14"/>
      <c r="D54" s="71">
        <f t="shared" ref="D54:O54" si="5">SUM(D47:D53)</f>
        <v>0</v>
      </c>
      <c r="E54" s="71">
        <f t="shared" si="5"/>
        <v>0</v>
      </c>
      <c r="F54" s="71">
        <f t="shared" si="5"/>
        <v>0</v>
      </c>
      <c r="G54" s="71">
        <f t="shared" si="5"/>
        <v>0</v>
      </c>
      <c r="H54" s="71">
        <f t="shared" si="5"/>
        <v>0</v>
      </c>
      <c r="I54" s="71">
        <f t="shared" si="5"/>
        <v>0</v>
      </c>
      <c r="J54" s="71">
        <f t="shared" si="5"/>
        <v>0</v>
      </c>
      <c r="K54" s="71">
        <f t="shared" si="5"/>
        <v>0</v>
      </c>
      <c r="L54" s="71">
        <f t="shared" si="5"/>
        <v>0</v>
      </c>
      <c r="M54" s="71">
        <f t="shared" si="5"/>
        <v>0</v>
      </c>
      <c r="N54" s="71">
        <f t="shared" si="5"/>
        <v>0</v>
      </c>
      <c r="O54" s="71">
        <f t="shared" si="5"/>
        <v>0</v>
      </c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</row>
    <row r="55" ht="18.75" customHeight="1" collapsed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</row>
    <row r="56" ht="18.75" customHeight="1">
      <c r="A56" s="9"/>
      <c r="B56" s="38" t="s">
        <v>40</v>
      </c>
      <c r="C56" s="39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8.75" customHeight="1">
      <c r="A57" s="42"/>
      <c r="B57" s="75" t="s">
        <v>41</v>
      </c>
      <c r="C57" s="14"/>
      <c r="D57" s="76">
        <v>2125.79</v>
      </c>
      <c r="E57" s="76">
        <v>820.0</v>
      </c>
      <c r="F57" s="76">
        <v>820.0</v>
      </c>
      <c r="G57" s="76">
        <v>1133.35</v>
      </c>
      <c r="H57" s="76">
        <v>1970.0</v>
      </c>
      <c r="I57" s="76">
        <v>1284.0</v>
      </c>
      <c r="J57" s="76">
        <v>915.0</v>
      </c>
      <c r="K57" s="76">
        <v>1220.0</v>
      </c>
      <c r="L57" s="76">
        <v>700.0</v>
      </c>
      <c r="M57" s="76">
        <v>650.0</v>
      </c>
      <c r="N57" s="76">
        <v>2200.0</v>
      </c>
      <c r="O57" s="76">
        <v>1341.0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8.75" customHeight="1">
      <c r="A58" s="42"/>
      <c r="B58" s="77" t="s">
        <v>42</v>
      </c>
      <c r="C58" s="14"/>
      <c r="D58" s="23">
        <v>0.0</v>
      </c>
      <c r="E58" s="23">
        <v>200.0</v>
      </c>
      <c r="F58" s="23">
        <v>200.0</v>
      </c>
      <c r="G58" s="23">
        <v>109.09</v>
      </c>
      <c r="H58" s="23">
        <v>125.0</v>
      </c>
      <c r="I58" s="23">
        <v>0.0</v>
      </c>
      <c r="J58" s="23">
        <v>0.0</v>
      </c>
      <c r="K58" s="23">
        <v>0.0</v>
      </c>
      <c r="L58" s="23">
        <v>0.0</v>
      </c>
      <c r="M58" s="23">
        <v>0.0</v>
      </c>
      <c r="N58" s="23">
        <v>0.0</v>
      </c>
      <c r="O58" s="23">
        <v>0.0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8.75" customHeight="1">
      <c r="A59" s="42"/>
      <c r="B59" s="75" t="s">
        <v>43</v>
      </c>
      <c r="C59" s="14"/>
      <c r="D59" s="23">
        <v>0.0</v>
      </c>
      <c r="E59" s="76">
        <v>9.9</v>
      </c>
      <c r="F59" s="23">
        <v>9.9</v>
      </c>
      <c r="G59" s="23">
        <v>0.0</v>
      </c>
      <c r="H59" s="23">
        <v>405.0</v>
      </c>
      <c r="I59" s="23">
        <v>1029.0</v>
      </c>
      <c r="J59" s="23">
        <v>618.0</v>
      </c>
      <c r="K59" s="23">
        <v>1065.0</v>
      </c>
      <c r="L59" s="23">
        <v>748.0</v>
      </c>
      <c r="M59" s="23">
        <v>1279.0</v>
      </c>
      <c r="N59" s="23">
        <v>525.0</v>
      </c>
      <c r="O59" s="23">
        <v>1312.0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8.75" customHeight="1">
      <c r="A60" s="42"/>
      <c r="B60" s="67" t="s">
        <v>44</v>
      </c>
      <c r="C60" s="61"/>
      <c r="D60" s="23">
        <v>0.0</v>
      </c>
      <c r="E60" s="23">
        <v>0.0</v>
      </c>
      <c r="F60" s="23">
        <v>0.0</v>
      </c>
      <c r="G60" s="23"/>
      <c r="H60" s="23">
        <v>0.0</v>
      </c>
      <c r="I60" s="23">
        <v>0.0</v>
      </c>
      <c r="J60" s="23">
        <v>0.0</v>
      </c>
      <c r="K60" s="23">
        <v>0.0</v>
      </c>
      <c r="L60" s="23">
        <v>100.0</v>
      </c>
      <c r="M60" s="23">
        <v>100.0</v>
      </c>
      <c r="N60" s="23">
        <v>100.0</v>
      </c>
      <c r="O60" s="23">
        <v>100.0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8.75" customHeight="1">
      <c r="A61" s="42"/>
      <c r="B61" s="78" t="s">
        <v>45</v>
      </c>
      <c r="C61" s="14"/>
      <c r="D61" s="23">
        <v>0.0</v>
      </c>
      <c r="E61" s="23">
        <v>0.0</v>
      </c>
      <c r="F61" s="23">
        <v>444.0</v>
      </c>
      <c r="G61" s="23">
        <v>444.0</v>
      </c>
      <c r="H61" s="23">
        <v>500.0</v>
      </c>
      <c r="I61" s="23">
        <v>500.0</v>
      </c>
      <c r="J61" s="23">
        <v>500.0</v>
      </c>
      <c r="K61" s="23">
        <v>500.0</v>
      </c>
      <c r="L61" s="23">
        <v>500.0</v>
      </c>
      <c r="M61" s="23">
        <v>500.0</v>
      </c>
      <c r="N61" s="23">
        <v>500.0</v>
      </c>
      <c r="O61" s="23">
        <v>500.0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8.75" customHeight="1">
      <c r="A62" s="42"/>
      <c r="B62" s="75" t="s">
        <v>46</v>
      </c>
      <c r="C62" s="14"/>
      <c r="D62" s="23">
        <v>0.0</v>
      </c>
      <c r="E62" s="23">
        <v>0.0</v>
      </c>
      <c r="F62" s="23"/>
      <c r="G62" s="23">
        <v>367.0</v>
      </c>
      <c r="H62" s="23">
        <v>367.0</v>
      </c>
      <c r="I62" s="23">
        <v>367.0</v>
      </c>
      <c r="J62" s="23">
        <v>367.0</v>
      </c>
      <c r="K62" s="23">
        <v>300.0</v>
      </c>
      <c r="L62" s="23">
        <v>367.0</v>
      </c>
      <c r="M62" s="23">
        <v>367.0</v>
      </c>
      <c r="N62" s="23">
        <v>367.0</v>
      </c>
      <c r="O62" s="23">
        <v>367.0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8.75" customHeight="1">
      <c r="A63" s="69"/>
      <c r="B63" s="79" t="s">
        <v>47</v>
      </c>
      <c r="C63" s="14"/>
      <c r="D63" s="33">
        <f t="shared" ref="D63:O63" si="6">SUM(D57:D62)</f>
        <v>2125.79</v>
      </c>
      <c r="E63" s="33">
        <f t="shared" si="6"/>
        <v>1029.9</v>
      </c>
      <c r="F63" s="33">
        <f t="shared" si="6"/>
        <v>1473.9</v>
      </c>
      <c r="G63" s="33">
        <f t="shared" si="6"/>
        <v>2053.44</v>
      </c>
      <c r="H63" s="33">
        <f t="shared" si="6"/>
        <v>3367</v>
      </c>
      <c r="I63" s="33">
        <f t="shared" si="6"/>
        <v>3180</v>
      </c>
      <c r="J63" s="33">
        <f t="shared" si="6"/>
        <v>2400</v>
      </c>
      <c r="K63" s="33">
        <f t="shared" si="6"/>
        <v>3085</v>
      </c>
      <c r="L63" s="33">
        <f t="shared" si="6"/>
        <v>2415</v>
      </c>
      <c r="M63" s="33">
        <f t="shared" si="6"/>
        <v>2896</v>
      </c>
      <c r="N63" s="33">
        <f t="shared" si="6"/>
        <v>3692</v>
      </c>
      <c r="O63" s="33">
        <f t="shared" si="6"/>
        <v>3620</v>
      </c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</row>
    <row r="64" ht="18.75" customHeight="1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</row>
    <row r="65" ht="27.75" customHeight="1">
      <c r="A65" s="81"/>
      <c r="B65" s="82" t="s">
        <v>48</v>
      </c>
      <c r="C65" s="4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8.75" customHeight="1">
      <c r="A66" s="1"/>
      <c r="B66" s="84" t="s">
        <v>49</v>
      </c>
      <c r="C66" s="14"/>
      <c r="D66" s="52">
        <f t="shared" ref="D66:O66" si="7">D13</f>
        <v>1908.16</v>
      </c>
      <c r="E66" s="52">
        <f t="shared" si="7"/>
        <v>3619</v>
      </c>
      <c r="F66" s="52">
        <f t="shared" si="7"/>
        <v>3535.57</v>
      </c>
      <c r="G66" s="52">
        <f t="shared" si="7"/>
        <v>3535.57</v>
      </c>
      <c r="H66" s="52">
        <f t="shared" si="7"/>
        <v>3535.57</v>
      </c>
      <c r="I66" s="52">
        <f t="shared" si="7"/>
        <v>3775.57</v>
      </c>
      <c r="J66" s="52">
        <f t="shared" si="7"/>
        <v>3535.57</v>
      </c>
      <c r="K66" s="52">
        <f t="shared" si="7"/>
        <v>3766</v>
      </c>
      <c r="L66" s="52">
        <f t="shared" si="7"/>
        <v>3535.57</v>
      </c>
      <c r="M66" s="52">
        <f t="shared" si="7"/>
        <v>3650.23</v>
      </c>
      <c r="N66" s="52">
        <f t="shared" si="7"/>
        <v>3650.23</v>
      </c>
      <c r="O66" s="52">
        <f t="shared" si="7"/>
        <v>3650.23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8.75" customHeight="1">
      <c r="A67" s="1"/>
      <c r="B67" s="77" t="s">
        <v>50</v>
      </c>
      <c r="C67" s="14"/>
      <c r="D67" s="30">
        <f t="shared" ref="D67:O67" si="8">D22</f>
        <v>0</v>
      </c>
      <c r="E67" s="30">
        <f t="shared" si="8"/>
        <v>900</v>
      </c>
      <c r="F67" s="30">
        <f t="shared" si="8"/>
        <v>440</v>
      </c>
      <c r="G67" s="30">
        <f t="shared" si="8"/>
        <v>470</v>
      </c>
      <c r="H67" s="30">
        <f t="shared" si="8"/>
        <v>505</v>
      </c>
      <c r="I67" s="30">
        <f t="shared" si="8"/>
        <v>490</v>
      </c>
      <c r="J67" s="30">
        <f t="shared" si="8"/>
        <v>490</v>
      </c>
      <c r="K67" s="30">
        <f t="shared" si="8"/>
        <v>490</v>
      </c>
      <c r="L67" s="30">
        <f t="shared" si="8"/>
        <v>610</v>
      </c>
      <c r="M67" s="30">
        <f t="shared" si="8"/>
        <v>490</v>
      </c>
      <c r="N67" s="30">
        <f t="shared" si="8"/>
        <v>610</v>
      </c>
      <c r="O67" s="30">
        <f t="shared" si="8"/>
        <v>490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8.75" customHeight="1">
      <c r="A68" s="1"/>
      <c r="B68" s="84" t="s">
        <v>51</v>
      </c>
      <c r="C68" s="14"/>
      <c r="D68" s="52">
        <v>0.0</v>
      </c>
      <c r="E68" s="52">
        <f t="shared" ref="E68:O68" si="9">E36</f>
        <v>0</v>
      </c>
      <c r="F68" s="52">
        <f t="shared" si="9"/>
        <v>0</v>
      </c>
      <c r="G68" s="52">
        <f t="shared" si="9"/>
        <v>0</v>
      </c>
      <c r="H68" s="52">
        <f t="shared" si="9"/>
        <v>0</v>
      </c>
      <c r="I68" s="52">
        <f t="shared" si="9"/>
        <v>0</v>
      </c>
      <c r="J68" s="52">
        <f t="shared" si="9"/>
        <v>0</v>
      </c>
      <c r="K68" s="52">
        <f t="shared" si="9"/>
        <v>0</v>
      </c>
      <c r="L68" s="52">
        <f t="shared" si="9"/>
        <v>0</v>
      </c>
      <c r="M68" s="52">
        <f t="shared" si="9"/>
        <v>0</v>
      </c>
      <c r="N68" s="52">
        <f t="shared" si="9"/>
        <v>0</v>
      </c>
      <c r="O68" s="52">
        <f t="shared" si="9"/>
        <v>0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8.75" customHeight="1">
      <c r="A69" s="1"/>
      <c r="B69" s="77" t="s">
        <v>52</v>
      </c>
      <c r="C69" s="14"/>
      <c r="D69" s="30">
        <f t="shared" ref="D69:O69" si="10">D44</f>
        <v>0</v>
      </c>
      <c r="E69" s="30">
        <f t="shared" si="10"/>
        <v>0</v>
      </c>
      <c r="F69" s="30">
        <f t="shared" si="10"/>
        <v>0</v>
      </c>
      <c r="G69" s="30">
        <f t="shared" si="10"/>
        <v>0</v>
      </c>
      <c r="H69" s="30">
        <f t="shared" si="10"/>
        <v>0</v>
      </c>
      <c r="I69" s="30">
        <f t="shared" si="10"/>
        <v>0</v>
      </c>
      <c r="J69" s="30">
        <f t="shared" si="10"/>
        <v>0</v>
      </c>
      <c r="K69" s="30">
        <f t="shared" si="10"/>
        <v>0</v>
      </c>
      <c r="L69" s="30">
        <f t="shared" si="10"/>
        <v>0</v>
      </c>
      <c r="M69" s="30">
        <f t="shared" si="10"/>
        <v>0</v>
      </c>
      <c r="N69" s="30">
        <f t="shared" si="10"/>
        <v>0</v>
      </c>
      <c r="O69" s="30">
        <f t="shared" si="10"/>
        <v>0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8.75" customHeight="1">
      <c r="A70" s="1"/>
      <c r="B70" s="84" t="s">
        <v>53</v>
      </c>
      <c r="C70" s="14"/>
      <c r="D70" s="52">
        <f t="shared" ref="D70:O70" si="11">D54</f>
        <v>0</v>
      </c>
      <c r="E70" s="52">
        <f t="shared" si="11"/>
        <v>0</v>
      </c>
      <c r="F70" s="52">
        <f t="shared" si="11"/>
        <v>0</v>
      </c>
      <c r="G70" s="52">
        <f t="shared" si="11"/>
        <v>0</v>
      </c>
      <c r="H70" s="52">
        <f t="shared" si="11"/>
        <v>0</v>
      </c>
      <c r="I70" s="52">
        <f t="shared" si="11"/>
        <v>0</v>
      </c>
      <c r="J70" s="52">
        <f t="shared" si="11"/>
        <v>0</v>
      </c>
      <c r="K70" s="52">
        <f t="shared" si="11"/>
        <v>0</v>
      </c>
      <c r="L70" s="52">
        <f t="shared" si="11"/>
        <v>0</v>
      </c>
      <c r="M70" s="52">
        <f t="shared" si="11"/>
        <v>0</v>
      </c>
      <c r="N70" s="52">
        <f t="shared" si="11"/>
        <v>0</v>
      </c>
      <c r="O70" s="52">
        <f t="shared" si="11"/>
        <v>0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8.75" customHeight="1">
      <c r="A71" s="1"/>
      <c r="B71" s="78" t="s">
        <v>54</v>
      </c>
      <c r="C71" s="14"/>
      <c r="D71" s="30">
        <f t="shared" ref="D71:O71" si="12">D63</f>
        <v>2125.79</v>
      </c>
      <c r="E71" s="30">
        <f t="shared" si="12"/>
        <v>1029.9</v>
      </c>
      <c r="F71" s="30">
        <f t="shared" si="12"/>
        <v>1473.9</v>
      </c>
      <c r="G71" s="30">
        <f t="shared" si="12"/>
        <v>2053.44</v>
      </c>
      <c r="H71" s="30">
        <f t="shared" si="12"/>
        <v>3367</v>
      </c>
      <c r="I71" s="30">
        <f t="shared" si="12"/>
        <v>3180</v>
      </c>
      <c r="J71" s="30">
        <f t="shared" si="12"/>
        <v>2400</v>
      </c>
      <c r="K71" s="30">
        <f t="shared" si="12"/>
        <v>3085</v>
      </c>
      <c r="L71" s="30">
        <f t="shared" si="12"/>
        <v>2415</v>
      </c>
      <c r="M71" s="30">
        <f t="shared" si="12"/>
        <v>2896</v>
      </c>
      <c r="N71" s="30">
        <f t="shared" si="12"/>
        <v>3692</v>
      </c>
      <c r="O71" s="30">
        <f t="shared" si="12"/>
        <v>3620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8.75" customHeight="1">
      <c r="A72" s="36"/>
      <c r="B72" s="70" t="s">
        <v>55</v>
      </c>
      <c r="C72" s="14"/>
      <c r="D72" s="85"/>
      <c r="E72" s="85">
        <f t="shared" ref="E72:O72" si="13">E66-(SUM(E67:E71))</f>
        <v>1689.1</v>
      </c>
      <c r="F72" s="85">
        <f t="shared" si="13"/>
        <v>1621.67</v>
      </c>
      <c r="G72" s="85">
        <f t="shared" si="13"/>
        <v>1012.13</v>
      </c>
      <c r="H72" s="85">
        <f t="shared" si="13"/>
        <v>-336.43</v>
      </c>
      <c r="I72" s="85">
        <f t="shared" si="13"/>
        <v>105.57</v>
      </c>
      <c r="J72" s="85">
        <f t="shared" si="13"/>
        <v>645.57</v>
      </c>
      <c r="K72" s="85">
        <f t="shared" si="13"/>
        <v>191</v>
      </c>
      <c r="L72" s="85">
        <f t="shared" si="13"/>
        <v>510.57</v>
      </c>
      <c r="M72" s="85">
        <f t="shared" si="13"/>
        <v>264.23</v>
      </c>
      <c r="N72" s="85">
        <f t="shared" si="13"/>
        <v>-651.77</v>
      </c>
      <c r="O72" s="85">
        <f t="shared" si="13"/>
        <v>-459.77</v>
      </c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</row>
    <row r="73" ht="15.75" customHeight="1">
      <c r="A73" s="1"/>
      <c r="B73" s="1"/>
      <c r="C73" s="1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"/>
      <c r="C74" s="1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86" t="s">
        <v>56</v>
      </c>
      <c r="C75" s="87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88"/>
      <c r="C76" s="89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88"/>
      <c r="C77" s="89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88"/>
      <c r="C78" s="89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88"/>
      <c r="C79" s="89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88"/>
      <c r="C80" s="89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88"/>
      <c r="C81" s="89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88"/>
      <c r="C82" s="89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88"/>
      <c r="C83" s="89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88"/>
      <c r="C84" s="89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88"/>
      <c r="C85" s="89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88"/>
      <c r="C86" s="89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88"/>
      <c r="C87" s="89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88"/>
      <c r="C88" s="89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88"/>
      <c r="C89" s="89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88"/>
      <c r="C90" s="89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88"/>
      <c r="C91" s="89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88"/>
      <c r="C92" s="89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90"/>
      <c r="C93" s="91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92"/>
      <c r="C94" s="92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92"/>
      <c r="C95" s="92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93" t="s">
        <v>57</v>
      </c>
      <c r="C96" s="87"/>
      <c r="D96" s="94" t="s">
        <v>58</v>
      </c>
      <c r="E96" s="95"/>
      <c r="F96" s="95"/>
      <c r="G96" s="87"/>
      <c r="H96" s="94" t="s">
        <v>59</v>
      </c>
      <c r="I96" s="95"/>
      <c r="J96" s="95"/>
      <c r="K96" s="87"/>
      <c r="L96" s="94" t="s">
        <v>60</v>
      </c>
      <c r="M96" s="95"/>
      <c r="N96" s="95"/>
      <c r="O96" s="87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88"/>
      <c r="C97" s="89"/>
      <c r="D97" s="88"/>
      <c r="G97" s="89"/>
      <c r="H97" s="88"/>
      <c r="K97" s="89"/>
      <c r="L97" s="88"/>
      <c r="O97" s="89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88"/>
      <c r="C98" s="89"/>
      <c r="D98" s="88"/>
      <c r="G98" s="89"/>
      <c r="H98" s="88"/>
      <c r="K98" s="89"/>
      <c r="L98" s="88"/>
      <c r="O98" s="89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88"/>
      <c r="C99" s="89"/>
      <c r="D99" s="90"/>
      <c r="E99" s="96"/>
      <c r="F99" s="96"/>
      <c r="G99" s="91"/>
      <c r="H99" s="90"/>
      <c r="I99" s="96"/>
      <c r="J99" s="96"/>
      <c r="K99" s="91"/>
      <c r="L99" s="90"/>
      <c r="M99" s="96"/>
      <c r="N99" s="96"/>
      <c r="O99" s="9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97">
        <v>3000.0</v>
      </c>
      <c r="C100" s="98"/>
      <c r="D100" s="99">
        <v>25.0</v>
      </c>
      <c r="E100" s="95"/>
      <c r="F100" s="95"/>
      <c r="G100" s="87"/>
      <c r="H100" s="99" t="str">
        <f>SUM(#REF!)</f>
        <v>#REF!</v>
      </c>
      <c r="I100" s="95"/>
      <c r="J100" s="95"/>
      <c r="K100" s="87"/>
      <c r="L100" s="99" t="str">
        <f>B100-H100</f>
        <v>#REF!</v>
      </c>
      <c r="M100" s="95"/>
      <c r="N100" s="95"/>
      <c r="O100" s="87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88"/>
      <c r="C101" s="89"/>
      <c r="D101" s="88"/>
      <c r="G101" s="89"/>
      <c r="H101" s="88"/>
      <c r="K101" s="89"/>
      <c r="L101" s="88"/>
      <c r="O101" s="89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88"/>
      <c r="C102" s="89"/>
      <c r="D102" s="88"/>
      <c r="G102" s="89"/>
      <c r="H102" s="88"/>
      <c r="K102" s="89"/>
      <c r="L102" s="88"/>
      <c r="O102" s="89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90"/>
      <c r="C103" s="91"/>
      <c r="D103" s="90"/>
      <c r="E103" s="96"/>
      <c r="F103" s="96"/>
      <c r="G103" s="91"/>
      <c r="H103" s="90"/>
      <c r="I103" s="96"/>
      <c r="J103" s="96"/>
      <c r="K103" s="91"/>
      <c r="L103" s="90"/>
      <c r="M103" s="96"/>
      <c r="N103" s="96"/>
      <c r="O103" s="9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00"/>
      <c r="B104" s="101"/>
      <c r="C104" s="101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49">
    <mergeCell ref="B2:O2"/>
    <mergeCell ref="B4:C4"/>
    <mergeCell ref="B5:C5"/>
    <mergeCell ref="B9:C9"/>
    <mergeCell ref="B10:C10"/>
    <mergeCell ref="B11:C11"/>
    <mergeCell ref="B12:C12"/>
    <mergeCell ref="B13:C13"/>
    <mergeCell ref="B15:C15"/>
    <mergeCell ref="B16:C16"/>
    <mergeCell ref="B22:C22"/>
    <mergeCell ref="B24:C24"/>
    <mergeCell ref="B25:B26"/>
    <mergeCell ref="B29:B30"/>
    <mergeCell ref="B31:B32"/>
    <mergeCell ref="B33:B34"/>
    <mergeCell ref="B36:C36"/>
    <mergeCell ref="B38:C38"/>
    <mergeCell ref="B39:B42"/>
    <mergeCell ref="B44:C44"/>
    <mergeCell ref="B46:C46"/>
    <mergeCell ref="B47:B48"/>
    <mergeCell ref="B49:B51"/>
    <mergeCell ref="B52:B53"/>
    <mergeCell ref="B54:C54"/>
    <mergeCell ref="B56:C56"/>
    <mergeCell ref="B57:C57"/>
    <mergeCell ref="B58:C58"/>
    <mergeCell ref="B59:C59"/>
    <mergeCell ref="B61:C61"/>
    <mergeCell ref="B62:C62"/>
    <mergeCell ref="B63:C63"/>
    <mergeCell ref="B65:C65"/>
    <mergeCell ref="B66:C66"/>
    <mergeCell ref="B67:C67"/>
    <mergeCell ref="D96:G99"/>
    <mergeCell ref="H96:K99"/>
    <mergeCell ref="L96:O99"/>
    <mergeCell ref="D100:G103"/>
    <mergeCell ref="H100:K103"/>
    <mergeCell ref="L100:O103"/>
    <mergeCell ref="B68:C68"/>
    <mergeCell ref="B69:C69"/>
    <mergeCell ref="B70:C70"/>
    <mergeCell ref="B71:C71"/>
    <mergeCell ref="B72:C72"/>
    <mergeCell ref="B75:C93"/>
    <mergeCell ref="B96:C99"/>
    <mergeCell ref="B100:C103"/>
  </mergeCells>
  <conditionalFormatting sqref="D72:O72">
    <cfRule type="cellIs" dxfId="0" priority="1" operator="greaterThan">
      <formula>0</formula>
    </cfRule>
  </conditionalFormatting>
  <conditionalFormatting sqref="D72:O72">
    <cfRule type="cellIs" dxfId="1" priority="2" operator="lessThan">
      <formula>0</formula>
    </cfRule>
  </conditionalFormatting>
  <hyperlinks>
    <hyperlink display=" R$ 600.00 " location="Detalhes!A1" ref="E19"/>
    <hyperlink display=" R$ 120.00 " location="Detalhes!A1" ref="F19"/>
  </hyperlinks>
  <printOptions/>
  <pageMargins bottom="0.7480314960629921" footer="0.0" header="0.0" left="0.2362204724409449" right="0.2362204724409449" top="0.7480314960629921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 outlineLevelRow="1"/>
  <cols>
    <col customWidth="1" min="1" max="1" width="4.43"/>
    <col customWidth="1" min="2" max="2" width="23.0"/>
    <col customWidth="1" min="3" max="3" width="27.29"/>
    <col customWidth="1" min="4" max="4" width="14.0"/>
    <col customWidth="1" min="5" max="15" width="14.71"/>
    <col customWidth="1" min="16" max="27" width="9.14"/>
  </cols>
  <sheetData>
    <row r="1" ht="17.25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40.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5"/>
      <c r="B3" s="5"/>
      <c r="C3" s="6"/>
      <c r="D3" s="7" t="s">
        <v>1</v>
      </c>
      <c r="E3" s="7" t="s">
        <v>2</v>
      </c>
      <c r="F3" s="7" t="s">
        <v>3</v>
      </c>
      <c r="G3" s="7" t="s">
        <v>4</v>
      </c>
      <c r="H3" s="7" t="s">
        <v>5</v>
      </c>
      <c r="I3" s="7" t="s">
        <v>6</v>
      </c>
      <c r="J3" s="7" t="s">
        <v>7</v>
      </c>
      <c r="K3" s="7" t="s">
        <v>8</v>
      </c>
      <c r="L3" s="7" t="s">
        <v>9</v>
      </c>
      <c r="M3" s="7" t="s">
        <v>10</v>
      </c>
      <c r="N3" s="7" t="s">
        <v>11</v>
      </c>
      <c r="O3" s="7" t="s">
        <v>12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9"/>
      <c r="B4" s="10" t="s">
        <v>13</v>
      </c>
      <c r="C4" s="4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9.5" customHeight="1">
      <c r="A5" s="12"/>
      <c r="B5" s="13" t="s">
        <v>14</v>
      </c>
      <c r="C5" s="14"/>
      <c r="D5" s="57">
        <v>2493.23</v>
      </c>
      <c r="E5" s="57">
        <v>2162.76</v>
      </c>
      <c r="F5" s="57">
        <v>3200.0</v>
      </c>
      <c r="G5" s="57">
        <v>2486.93</v>
      </c>
      <c r="H5" s="57">
        <v>1700.0</v>
      </c>
      <c r="I5" s="57">
        <v>2821.0</v>
      </c>
      <c r="J5" s="57">
        <v>2486.93</v>
      </c>
      <c r="K5" s="57">
        <v>2486.93</v>
      </c>
      <c r="L5" s="57">
        <v>2486.93</v>
      </c>
      <c r="M5" s="57">
        <v>2486.93</v>
      </c>
      <c r="N5" s="57">
        <v>2486.93</v>
      </c>
      <c r="O5" s="57">
        <v>2486.93</v>
      </c>
      <c r="P5" s="103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9.5" customHeight="1">
      <c r="A6" s="12"/>
      <c r="B6" s="24" t="s">
        <v>15</v>
      </c>
      <c r="C6" s="104"/>
      <c r="D6" s="50">
        <v>819.0</v>
      </c>
      <c r="E6" s="50">
        <v>1083.0</v>
      </c>
      <c r="F6" s="50">
        <v>1083.0</v>
      </c>
      <c r="G6" s="50">
        <v>1083.0</v>
      </c>
      <c r="H6" s="50"/>
      <c r="I6" s="50"/>
      <c r="J6" s="50">
        <v>1083.0</v>
      </c>
      <c r="K6" s="50">
        <v>1083.0</v>
      </c>
      <c r="L6" s="50">
        <v>1083.0</v>
      </c>
      <c r="M6" s="50">
        <v>1083.0</v>
      </c>
      <c r="N6" s="50">
        <v>1083.0</v>
      </c>
      <c r="O6" s="50">
        <v>1083.0</v>
      </c>
      <c r="P6" s="103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9.5" customHeight="1">
      <c r="A7" s="19"/>
      <c r="B7" s="105" t="s">
        <v>16</v>
      </c>
      <c r="C7" s="106"/>
      <c r="D7" s="46">
        <v>338.0</v>
      </c>
      <c r="E7" s="46">
        <v>338.0</v>
      </c>
      <c r="F7" s="46"/>
      <c r="G7" s="46"/>
      <c r="H7" s="46"/>
      <c r="I7" s="46"/>
      <c r="J7" s="46"/>
      <c r="K7" s="46"/>
      <c r="L7" s="46"/>
      <c r="M7" s="46"/>
      <c r="N7" s="46"/>
      <c r="O7" s="46"/>
      <c r="P7" s="103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9.5" customHeight="1">
      <c r="A8" s="12"/>
      <c r="B8" s="24" t="s">
        <v>17</v>
      </c>
      <c r="C8" s="107"/>
      <c r="D8" s="30"/>
      <c r="E8" s="30"/>
      <c r="F8" s="30"/>
      <c r="G8" s="30"/>
      <c r="H8" s="30"/>
      <c r="I8" s="50"/>
      <c r="J8" s="30"/>
      <c r="K8" s="30"/>
      <c r="L8" s="30"/>
      <c r="M8" s="30"/>
      <c r="N8" s="30"/>
      <c r="O8" s="30"/>
      <c r="P8" s="103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9.5" customHeight="1">
      <c r="A9" s="12"/>
      <c r="B9" s="13" t="s">
        <v>18</v>
      </c>
      <c r="C9" s="14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103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9.5" customHeight="1">
      <c r="A10" s="12"/>
      <c r="B10" s="27" t="s">
        <v>19</v>
      </c>
      <c r="C10" s="14"/>
      <c r="D10" s="30"/>
      <c r="E10" s="30"/>
      <c r="F10" s="30"/>
      <c r="G10" s="30"/>
      <c r="H10" s="30"/>
      <c r="I10" s="30"/>
      <c r="J10" s="50"/>
      <c r="K10" s="30"/>
      <c r="L10" s="30"/>
      <c r="M10" s="30"/>
      <c r="N10" s="30"/>
      <c r="O10" s="30"/>
      <c r="P10" s="103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9.5" customHeight="1">
      <c r="A11" s="12"/>
      <c r="B11" s="13"/>
      <c r="C11" s="14"/>
      <c r="D11" s="52"/>
      <c r="E11" s="52"/>
      <c r="F11" s="108"/>
      <c r="G11" s="52"/>
      <c r="H11" s="52"/>
      <c r="I11" s="52"/>
      <c r="J11" s="57"/>
      <c r="K11" s="52"/>
      <c r="L11" s="52"/>
      <c r="M11" s="52"/>
      <c r="N11" s="52"/>
      <c r="O11" s="52"/>
      <c r="P11" s="103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9.5" customHeight="1">
      <c r="A12" s="12"/>
      <c r="B12" s="27"/>
      <c r="C12" s="14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103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9.5" customHeight="1">
      <c r="A13" s="31"/>
      <c r="B13" s="32" t="s">
        <v>20</v>
      </c>
      <c r="C13" s="14"/>
      <c r="D13" s="33">
        <f t="shared" ref="D13:M13" si="1">SUM(D5:D11)</f>
        <v>3650.23</v>
      </c>
      <c r="E13" s="33">
        <f t="shared" si="1"/>
        <v>3583.76</v>
      </c>
      <c r="F13" s="33">
        <f t="shared" si="1"/>
        <v>4283</v>
      </c>
      <c r="G13" s="33">
        <f t="shared" si="1"/>
        <v>3569.93</v>
      </c>
      <c r="H13" s="33">
        <f t="shared" si="1"/>
        <v>1700</v>
      </c>
      <c r="I13" s="33">
        <f t="shared" si="1"/>
        <v>2821</v>
      </c>
      <c r="J13" s="33">
        <f t="shared" si="1"/>
        <v>3569.93</v>
      </c>
      <c r="K13" s="33">
        <f t="shared" si="1"/>
        <v>3569.93</v>
      </c>
      <c r="L13" s="33">
        <f t="shared" si="1"/>
        <v>3569.93</v>
      </c>
      <c r="M13" s="33">
        <f t="shared" si="1"/>
        <v>3569.93</v>
      </c>
      <c r="N13" s="109">
        <f>SUM(N5:N12)</f>
        <v>3569.93</v>
      </c>
      <c r="O13" s="109">
        <f>SUM(O5:O11)</f>
        <v>3569.93</v>
      </c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</row>
    <row r="14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</row>
    <row r="15">
      <c r="A15" s="9"/>
      <c r="B15" s="10" t="s">
        <v>21</v>
      </c>
      <c r="C15" s="4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37"/>
      <c r="B16" s="38" t="s">
        <v>22</v>
      </c>
      <c r="C16" s="39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1.75" customHeight="1">
      <c r="A17" s="42"/>
      <c r="B17" s="43" t="s">
        <v>23</v>
      </c>
      <c r="C17" s="44"/>
      <c r="D17" s="46">
        <v>370.0</v>
      </c>
      <c r="E17" s="46">
        <v>370.0</v>
      </c>
      <c r="F17" s="46">
        <v>370.0</v>
      </c>
      <c r="G17" s="46">
        <v>370.0</v>
      </c>
      <c r="H17" s="46">
        <v>370.0</v>
      </c>
      <c r="I17" s="46">
        <v>370.0</v>
      </c>
      <c r="J17" s="46">
        <v>370.0</v>
      </c>
      <c r="K17" s="46">
        <v>370.0</v>
      </c>
      <c r="L17" s="46">
        <v>370.0</v>
      </c>
      <c r="M17" s="46">
        <v>370.0</v>
      </c>
      <c r="N17" s="46">
        <v>370.0</v>
      </c>
      <c r="O17" s="46">
        <v>370.0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1.75" customHeight="1">
      <c r="A18" s="47"/>
      <c r="B18" s="48" t="s">
        <v>24</v>
      </c>
      <c r="C18" s="49"/>
      <c r="D18" s="50">
        <v>120.0</v>
      </c>
      <c r="E18" s="50">
        <v>120.0</v>
      </c>
      <c r="F18" s="50">
        <v>120.0</v>
      </c>
      <c r="G18" s="50">
        <v>120.0</v>
      </c>
      <c r="H18" s="50">
        <v>120.0</v>
      </c>
      <c r="I18" s="50">
        <v>120.0</v>
      </c>
      <c r="J18" s="50">
        <v>120.0</v>
      </c>
      <c r="K18" s="50">
        <v>120.0</v>
      </c>
      <c r="L18" s="50">
        <v>120.0</v>
      </c>
      <c r="M18" s="50">
        <v>120.0</v>
      </c>
      <c r="N18" s="50">
        <v>120.0</v>
      </c>
      <c r="O18" s="50">
        <v>120.0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1.75" customHeight="1">
      <c r="A19" s="47"/>
      <c r="B19" s="48" t="s">
        <v>61</v>
      </c>
      <c r="C19" s="51"/>
      <c r="D19" s="54">
        <v>0.0</v>
      </c>
      <c r="E19" s="54">
        <v>0.0</v>
      </c>
      <c r="F19" s="54">
        <v>119.99</v>
      </c>
      <c r="G19" s="54">
        <v>119.99</v>
      </c>
      <c r="H19" s="54"/>
      <c r="I19" s="54">
        <v>119.99</v>
      </c>
      <c r="J19" s="54">
        <v>119.99</v>
      </c>
      <c r="K19" s="54">
        <v>119.99</v>
      </c>
      <c r="L19" s="54">
        <v>119.99</v>
      </c>
      <c r="M19" s="54">
        <v>119.99</v>
      </c>
      <c r="N19" s="54">
        <v>119.99</v>
      </c>
      <c r="O19" s="54">
        <v>119.99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1.75" customHeight="1">
      <c r="A20" s="42"/>
      <c r="B20" s="55" t="s">
        <v>62</v>
      </c>
      <c r="C20" s="25"/>
      <c r="D20" s="50">
        <v>200.0</v>
      </c>
      <c r="E20" s="50"/>
      <c r="F20" s="50">
        <v>200.0</v>
      </c>
      <c r="G20" s="50">
        <v>200.0</v>
      </c>
      <c r="H20" s="50"/>
      <c r="I20" s="50">
        <v>200.0</v>
      </c>
      <c r="J20" s="50">
        <v>200.0</v>
      </c>
      <c r="K20" s="50">
        <v>200.0</v>
      </c>
      <c r="L20" s="50">
        <v>200.0</v>
      </c>
      <c r="M20" s="50">
        <v>200.0</v>
      </c>
      <c r="N20" s="50">
        <v>200.0</v>
      </c>
      <c r="O20" s="50">
        <v>200.0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1.75" customHeight="1">
      <c r="A21" s="42"/>
      <c r="B21" s="55" t="s">
        <v>63</v>
      </c>
      <c r="C21" s="17"/>
      <c r="D21" s="57">
        <v>500.0</v>
      </c>
      <c r="F21" s="57">
        <v>500.0</v>
      </c>
      <c r="G21" s="57">
        <v>500.0</v>
      </c>
      <c r="H21" s="57"/>
      <c r="I21" s="57">
        <v>500.0</v>
      </c>
      <c r="J21" s="57">
        <v>500.0</v>
      </c>
      <c r="K21" s="57">
        <v>500.0</v>
      </c>
      <c r="L21" s="57">
        <v>500.0</v>
      </c>
      <c r="M21" s="57">
        <v>500.0</v>
      </c>
      <c r="N21" s="57">
        <v>500.0</v>
      </c>
      <c r="O21" s="57">
        <v>500.0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21.75" customHeight="1">
      <c r="A22" s="42"/>
      <c r="B22" s="56" t="s">
        <v>27</v>
      </c>
      <c r="C22" s="25"/>
      <c r="D22" s="30"/>
      <c r="E22" s="30"/>
      <c r="F22" s="30"/>
      <c r="G22" s="30"/>
      <c r="H22" s="50"/>
      <c r="I22" s="50"/>
      <c r="J22" s="30"/>
      <c r="K22" s="30"/>
      <c r="L22" s="50"/>
      <c r="M22" s="50"/>
      <c r="N22" s="50"/>
      <c r="O22" s="30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21.75" customHeight="1">
      <c r="A23" s="58"/>
      <c r="B23" s="32" t="s">
        <v>28</v>
      </c>
      <c r="C23" s="14"/>
      <c r="D23" s="33">
        <f t="shared" ref="D23:O23" si="2">SUM(D17:D22)</f>
        <v>1190</v>
      </c>
      <c r="E23" s="33">
        <f t="shared" si="2"/>
        <v>490</v>
      </c>
      <c r="F23" s="33">
        <f t="shared" si="2"/>
        <v>1309.99</v>
      </c>
      <c r="G23" s="33">
        <f t="shared" si="2"/>
        <v>1309.99</v>
      </c>
      <c r="H23" s="33">
        <f t="shared" si="2"/>
        <v>490</v>
      </c>
      <c r="I23" s="33">
        <f t="shared" si="2"/>
        <v>1309.99</v>
      </c>
      <c r="J23" s="33">
        <f t="shared" si="2"/>
        <v>1309.99</v>
      </c>
      <c r="K23" s="33">
        <f t="shared" si="2"/>
        <v>1309.99</v>
      </c>
      <c r="L23" s="33">
        <f t="shared" si="2"/>
        <v>1309.99</v>
      </c>
      <c r="M23" s="33">
        <f t="shared" si="2"/>
        <v>1309.99</v>
      </c>
      <c r="N23" s="33">
        <f t="shared" si="2"/>
        <v>1309.99</v>
      </c>
      <c r="O23" s="33">
        <f t="shared" si="2"/>
        <v>1309.99</v>
      </c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</row>
    <row r="24" ht="15.7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</row>
    <row r="25" ht="15.75" hidden="1" customHeight="1" outlineLevel="1">
      <c r="A25" s="59"/>
      <c r="B25" s="38" t="s">
        <v>29</v>
      </c>
      <c r="C25" s="39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8.75" hidden="1" customHeight="1" outlineLevel="1">
      <c r="A26" s="42"/>
      <c r="B26" s="60"/>
      <c r="C26" s="61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8.75" hidden="1" customHeight="1" outlineLevel="1">
      <c r="A27" s="42"/>
      <c r="B27" s="62"/>
      <c r="C27" s="63"/>
      <c r="D27" s="18">
        <v>0.0</v>
      </c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8.75" hidden="1" customHeight="1" outlineLevel="1">
      <c r="A28" s="42"/>
      <c r="B28" s="64"/>
      <c r="C28" s="63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8.75" hidden="1" customHeight="1" outlineLevel="1">
      <c r="A29" s="42"/>
      <c r="B29" s="64"/>
      <c r="C29" s="63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8.75" hidden="1" customHeight="1" outlineLevel="1">
      <c r="A30" s="42"/>
      <c r="B30" s="60"/>
      <c r="C30" s="61"/>
      <c r="D30" s="26">
        <v>0.0</v>
      </c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8.75" hidden="1" customHeight="1" outlineLevel="1">
      <c r="A31" s="42"/>
      <c r="B31" s="62"/>
      <c r="C31" s="64"/>
      <c r="D31" s="65">
        <v>0.0</v>
      </c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8.75" hidden="1" customHeight="1" outlineLevel="1">
      <c r="A32" s="42"/>
      <c r="B32" s="66"/>
      <c r="C32" s="67"/>
      <c r="D32" s="26">
        <v>0.0</v>
      </c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8.75" hidden="1" customHeight="1" outlineLevel="1">
      <c r="A33" s="42"/>
      <c r="B33" s="62"/>
      <c r="C33" s="64"/>
      <c r="D33" s="65">
        <v>0.0</v>
      </c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8.75" hidden="1" customHeight="1" outlineLevel="1">
      <c r="A34" s="42"/>
      <c r="B34" s="60"/>
      <c r="C34" s="61"/>
      <c r="D34" s="26">
        <v>0.0</v>
      </c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8.75" hidden="1" customHeight="1" outlineLevel="1">
      <c r="A35" s="42"/>
      <c r="B35" s="62"/>
      <c r="C35" s="64"/>
      <c r="D35" s="65">
        <v>0.0</v>
      </c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8.75" hidden="1" customHeight="1" outlineLevel="1">
      <c r="A36" s="42"/>
      <c r="B36" s="68"/>
      <c r="C36" s="61"/>
      <c r="D36" s="26">
        <v>0.0</v>
      </c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8.75" hidden="1" customHeight="1" outlineLevel="1">
      <c r="A37" s="69"/>
      <c r="B37" s="70" t="s">
        <v>30</v>
      </c>
      <c r="C37" s="14"/>
      <c r="D37" s="71"/>
      <c r="E37" s="71">
        <f t="shared" ref="E37:O37" si="3">SUM(E26:E36)</f>
        <v>0</v>
      </c>
      <c r="F37" s="71">
        <f t="shared" si="3"/>
        <v>0</v>
      </c>
      <c r="G37" s="71">
        <f t="shared" si="3"/>
        <v>0</v>
      </c>
      <c r="H37" s="71">
        <f t="shared" si="3"/>
        <v>0</v>
      </c>
      <c r="I37" s="71">
        <f t="shared" si="3"/>
        <v>0</v>
      </c>
      <c r="J37" s="71">
        <f t="shared" si="3"/>
        <v>0</v>
      </c>
      <c r="K37" s="71">
        <f t="shared" si="3"/>
        <v>0</v>
      </c>
      <c r="L37" s="71">
        <f t="shared" si="3"/>
        <v>0</v>
      </c>
      <c r="M37" s="71">
        <f t="shared" si="3"/>
        <v>0</v>
      </c>
      <c r="N37" s="71">
        <f t="shared" si="3"/>
        <v>0</v>
      </c>
      <c r="O37" s="71">
        <f t="shared" si="3"/>
        <v>0</v>
      </c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</row>
    <row r="38" ht="15.75" hidden="1" customHeight="1" outlineLevel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</row>
    <row r="39" ht="15.75" hidden="1" customHeight="1" outlineLevel="1">
      <c r="A39" s="59"/>
      <c r="B39" s="38" t="s">
        <v>31</v>
      </c>
      <c r="C39" s="39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8.75" hidden="1" customHeight="1" outlineLevel="1">
      <c r="A40" s="42"/>
      <c r="B40" s="60" t="s">
        <v>32</v>
      </c>
      <c r="C40" s="64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8.75" hidden="1" customHeight="1" outlineLevel="1">
      <c r="A41" s="42"/>
      <c r="B41" s="72"/>
      <c r="C41" s="61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8.75" hidden="1" customHeight="1" outlineLevel="1">
      <c r="A42" s="42"/>
      <c r="B42" s="72"/>
      <c r="C42" s="64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8.75" hidden="1" customHeight="1" outlineLevel="1">
      <c r="A43" s="42"/>
      <c r="B43" s="62"/>
      <c r="C43" s="61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8.75" hidden="1" customHeight="1" outlineLevel="1">
      <c r="A44" s="42"/>
      <c r="B44" s="68"/>
      <c r="C44" s="64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8.75" hidden="1" customHeight="1" outlineLevel="1">
      <c r="A45" s="69"/>
      <c r="B45" s="70" t="s">
        <v>33</v>
      </c>
      <c r="C45" s="14"/>
      <c r="D45" s="71">
        <f t="shared" ref="D45:O45" si="4">SUM(D40:D44)</f>
        <v>0</v>
      </c>
      <c r="E45" s="71">
        <f t="shared" si="4"/>
        <v>0</v>
      </c>
      <c r="F45" s="71">
        <f t="shared" si="4"/>
        <v>0</v>
      </c>
      <c r="G45" s="71">
        <f t="shared" si="4"/>
        <v>0</v>
      </c>
      <c r="H45" s="71">
        <f t="shared" si="4"/>
        <v>0</v>
      </c>
      <c r="I45" s="71">
        <f t="shared" si="4"/>
        <v>0</v>
      </c>
      <c r="J45" s="71">
        <f t="shared" si="4"/>
        <v>0</v>
      </c>
      <c r="K45" s="71">
        <f t="shared" si="4"/>
        <v>0</v>
      </c>
      <c r="L45" s="71">
        <f t="shared" si="4"/>
        <v>0</v>
      </c>
      <c r="M45" s="71">
        <f t="shared" si="4"/>
        <v>0</v>
      </c>
      <c r="N45" s="71">
        <f t="shared" si="4"/>
        <v>0</v>
      </c>
      <c r="O45" s="71">
        <f t="shared" si="4"/>
        <v>0</v>
      </c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</row>
    <row r="46" ht="18.75" hidden="1" customHeight="1" outlineLevel="1">
      <c r="A46" s="35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</row>
    <row r="47" ht="18.75" hidden="1" customHeight="1" outlineLevel="1">
      <c r="A47" s="74"/>
      <c r="B47" s="38" t="s">
        <v>34</v>
      </c>
      <c r="C47" s="39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8.75" hidden="1" customHeight="1" outlineLevel="1">
      <c r="A48" s="42"/>
      <c r="B48" s="60" t="s">
        <v>35</v>
      </c>
      <c r="C48" s="64" t="s">
        <v>36</v>
      </c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8.75" hidden="1" customHeight="1" outlineLevel="1">
      <c r="A49" s="42"/>
      <c r="B49" s="62"/>
      <c r="C49" s="61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8.75" hidden="1" customHeight="1" outlineLevel="1">
      <c r="A50" s="42"/>
      <c r="B50" s="60"/>
      <c r="C50" s="64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8.75" hidden="1" customHeight="1" outlineLevel="1">
      <c r="A51" s="42"/>
      <c r="B51" s="72"/>
      <c r="C51" s="61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8.75" hidden="1" customHeight="1" outlineLevel="1">
      <c r="A52" s="42"/>
      <c r="B52" s="62"/>
      <c r="C52" s="64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8.75" hidden="1" customHeight="1" outlineLevel="1">
      <c r="A53" s="42"/>
      <c r="B53" s="60" t="s">
        <v>37</v>
      </c>
      <c r="C53" s="61" t="s">
        <v>38</v>
      </c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8.75" hidden="1" customHeight="1" outlineLevel="1">
      <c r="A54" s="42"/>
      <c r="B54" s="62"/>
      <c r="C54" s="64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8.75" hidden="1" customHeight="1" outlineLevel="1">
      <c r="A55" s="69"/>
      <c r="B55" s="70" t="s">
        <v>39</v>
      </c>
      <c r="C55" s="14"/>
      <c r="D55" s="71">
        <f t="shared" ref="D55:O55" si="5">SUM(D48:D54)</f>
        <v>0</v>
      </c>
      <c r="E55" s="71">
        <f t="shared" si="5"/>
        <v>0</v>
      </c>
      <c r="F55" s="71">
        <f t="shared" si="5"/>
        <v>0</v>
      </c>
      <c r="G55" s="71">
        <f t="shared" si="5"/>
        <v>0</v>
      </c>
      <c r="H55" s="71">
        <f t="shared" si="5"/>
        <v>0</v>
      </c>
      <c r="I55" s="71">
        <f t="shared" si="5"/>
        <v>0</v>
      </c>
      <c r="J55" s="71">
        <f t="shared" si="5"/>
        <v>0</v>
      </c>
      <c r="K55" s="71">
        <f t="shared" si="5"/>
        <v>0</v>
      </c>
      <c r="L55" s="71">
        <f t="shared" si="5"/>
        <v>0</v>
      </c>
      <c r="M55" s="71">
        <f t="shared" si="5"/>
        <v>0</v>
      </c>
      <c r="N55" s="71">
        <f t="shared" si="5"/>
        <v>0</v>
      </c>
      <c r="O55" s="71">
        <f t="shared" si="5"/>
        <v>0</v>
      </c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</row>
    <row r="56" ht="18.75" customHeight="1" collapsed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</row>
    <row r="57" ht="18.75" customHeight="1">
      <c r="A57" s="9"/>
      <c r="B57" s="38" t="s">
        <v>40</v>
      </c>
      <c r="C57" s="39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8.75" customHeight="1">
      <c r="A58" s="42"/>
      <c r="B58" s="75" t="s">
        <v>41</v>
      </c>
      <c r="C58" s="14"/>
      <c r="D58" s="76">
        <v>679.57</v>
      </c>
      <c r="E58" s="76">
        <v>2277.04</v>
      </c>
      <c r="F58" s="76">
        <v>690.57</v>
      </c>
      <c r="G58" s="76">
        <v>530.0</v>
      </c>
      <c r="H58" s="76">
        <v>500.0</v>
      </c>
      <c r="I58" s="76">
        <v>150.0</v>
      </c>
      <c r="J58" s="76">
        <v>100.0</v>
      </c>
      <c r="K58" s="76">
        <v>100.0</v>
      </c>
      <c r="L58" s="76">
        <v>100.0</v>
      </c>
      <c r="M58" s="76">
        <v>100.0</v>
      </c>
      <c r="N58" s="76">
        <v>100.0</v>
      </c>
      <c r="O58" s="76">
        <v>100.0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8.75" customHeight="1">
      <c r="A59" s="42"/>
      <c r="B59" s="77" t="s">
        <v>42</v>
      </c>
      <c r="C59" s="14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8.75" customHeight="1">
      <c r="A60" s="42"/>
      <c r="B60" s="75" t="s">
        <v>43</v>
      </c>
      <c r="C60" s="14"/>
      <c r="D60" s="76">
        <v>700.0</v>
      </c>
      <c r="E60" s="76"/>
      <c r="F60" s="76">
        <v>1064.0</v>
      </c>
      <c r="G60" s="76">
        <v>800.0</v>
      </c>
      <c r="H60" s="76">
        <v>1000.0</v>
      </c>
      <c r="I60" s="76">
        <v>800.0</v>
      </c>
      <c r="J60" s="76">
        <v>800.0</v>
      </c>
      <c r="K60" s="76">
        <v>800.0</v>
      </c>
      <c r="L60" s="76">
        <v>800.0</v>
      </c>
      <c r="M60" s="76">
        <v>800.0</v>
      </c>
      <c r="N60" s="76">
        <v>800.0</v>
      </c>
      <c r="O60" s="76">
        <v>800.0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8.75" customHeight="1">
      <c r="A61" s="42"/>
      <c r="B61" s="67" t="s">
        <v>44</v>
      </c>
      <c r="C61" s="61"/>
      <c r="D61" s="23">
        <v>100.0</v>
      </c>
      <c r="E61" s="23">
        <v>100.0</v>
      </c>
      <c r="F61" s="23">
        <v>100.0</v>
      </c>
      <c r="G61" s="23">
        <v>100.0</v>
      </c>
      <c r="H61" s="23">
        <v>100.0</v>
      </c>
      <c r="I61" s="23">
        <v>100.0</v>
      </c>
      <c r="J61" s="23">
        <v>100.0</v>
      </c>
      <c r="K61" s="23">
        <v>100.0</v>
      </c>
      <c r="L61" s="23">
        <v>100.0</v>
      </c>
      <c r="M61" s="23">
        <v>100.0</v>
      </c>
      <c r="N61" s="23">
        <v>100.0</v>
      </c>
      <c r="O61" s="23">
        <v>100.0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8.75" customHeight="1">
      <c r="A62" s="42"/>
      <c r="B62" s="56"/>
      <c r="C62" s="5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8.75" customHeight="1">
      <c r="A63" s="42"/>
      <c r="B63" s="78" t="s">
        <v>45</v>
      </c>
      <c r="C63" s="14"/>
      <c r="D63" s="23">
        <v>500.0</v>
      </c>
      <c r="E63" s="23">
        <v>500.0</v>
      </c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8.75" customHeight="1">
      <c r="A64" s="42"/>
      <c r="B64" s="75" t="s">
        <v>46</v>
      </c>
      <c r="C64" s="14"/>
      <c r="D64" s="76">
        <v>367.0</v>
      </c>
      <c r="E64" s="76">
        <v>367.0</v>
      </c>
      <c r="F64" s="76">
        <v>367.0</v>
      </c>
      <c r="G64" s="76">
        <v>367.0</v>
      </c>
      <c r="H64" s="76"/>
      <c r="I64" s="76">
        <v>367.0</v>
      </c>
      <c r="J64" s="76">
        <v>367.0</v>
      </c>
      <c r="K64" s="76">
        <v>300.0</v>
      </c>
      <c r="L64" s="76">
        <v>367.0</v>
      </c>
      <c r="M64" s="76">
        <v>367.0</v>
      </c>
      <c r="N64" s="76">
        <v>367.0</v>
      </c>
      <c r="O64" s="76">
        <v>367.0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8.75" customHeight="1">
      <c r="A65" s="69"/>
      <c r="B65" s="79" t="s">
        <v>47</v>
      </c>
      <c r="C65" s="14"/>
      <c r="D65" s="33">
        <f t="shared" ref="D65:O65" si="6">SUM(D58:D64)</f>
        <v>2346.57</v>
      </c>
      <c r="E65" s="33">
        <f t="shared" si="6"/>
        <v>3244.04</v>
      </c>
      <c r="F65" s="33">
        <f t="shared" si="6"/>
        <v>2221.57</v>
      </c>
      <c r="G65" s="33">
        <f t="shared" si="6"/>
        <v>1797</v>
      </c>
      <c r="H65" s="33">
        <f t="shared" si="6"/>
        <v>1600</v>
      </c>
      <c r="I65" s="33">
        <f t="shared" si="6"/>
        <v>1417</v>
      </c>
      <c r="J65" s="33">
        <f t="shared" si="6"/>
        <v>1367</v>
      </c>
      <c r="K65" s="33">
        <f t="shared" si="6"/>
        <v>1300</v>
      </c>
      <c r="L65" s="33">
        <f t="shared" si="6"/>
        <v>1367</v>
      </c>
      <c r="M65" s="33">
        <f t="shared" si="6"/>
        <v>1367</v>
      </c>
      <c r="N65" s="33">
        <f t="shared" si="6"/>
        <v>1367</v>
      </c>
      <c r="O65" s="33">
        <f t="shared" si="6"/>
        <v>1367</v>
      </c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</row>
    <row r="66" ht="18.75" customHeight="1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ht="27.75" customHeight="1">
      <c r="A67" s="81"/>
      <c r="B67" s="82" t="s">
        <v>48</v>
      </c>
      <c r="C67" s="4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8.75" customHeight="1">
      <c r="A68" s="1"/>
      <c r="B68" s="84" t="s">
        <v>49</v>
      </c>
      <c r="C68" s="14"/>
      <c r="D68" s="52">
        <f t="shared" ref="D68:O68" si="7">D13</f>
        <v>3650.23</v>
      </c>
      <c r="E68" s="52">
        <f t="shared" si="7"/>
        <v>3583.76</v>
      </c>
      <c r="F68" s="52">
        <f t="shared" si="7"/>
        <v>4283</v>
      </c>
      <c r="G68" s="52">
        <f t="shared" si="7"/>
        <v>3569.93</v>
      </c>
      <c r="H68" s="52">
        <f t="shared" si="7"/>
        <v>1700</v>
      </c>
      <c r="I68" s="52">
        <f t="shared" si="7"/>
        <v>2821</v>
      </c>
      <c r="J68" s="52">
        <f t="shared" si="7"/>
        <v>3569.93</v>
      </c>
      <c r="K68" s="52">
        <f t="shared" si="7"/>
        <v>3569.93</v>
      </c>
      <c r="L68" s="52">
        <f t="shared" si="7"/>
        <v>3569.93</v>
      </c>
      <c r="M68" s="52">
        <f t="shared" si="7"/>
        <v>3569.93</v>
      </c>
      <c r="N68" s="52">
        <f t="shared" si="7"/>
        <v>3569.93</v>
      </c>
      <c r="O68" s="52">
        <f t="shared" si="7"/>
        <v>3569.93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8.75" customHeight="1">
      <c r="A69" s="1"/>
      <c r="B69" s="77" t="s">
        <v>50</v>
      </c>
      <c r="C69" s="14"/>
      <c r="D69" s="30">
        <f t="shared" ref="D69:O69" si="8">D23</f>
        <v>1190</v>
      </c>
      <c r="E69" s="30">
        <f t="shared" si="8"/>
        <v>490</v>
      </c>
      <c r="F69" s="30">
        <f t="shared" si="8"/>
        <v>1309.99</v>
      </c>
      <c r="G69" s="30">
        <f t="shared" si="8"/>
        <v>1309.99</v>
      </c>
      <c r="H69" s="30">
        <f t="shared" si="8"/>
        <v>490</v>
      </c>
      <c r="I69" s="30">
        <f t="shared" si="8"/>
        <v>1309.99</v>
      </c>
      <c r="J69" s="30">
        <f t="shared" si="8"/>
        <v>1309.99</v>
      </c>
      <c r="K69" s="30">
        <f t="shared" si="8"/>
        <v>1309.99</v>
      </c>
      <c r="L69" s="30">
        <f t="shared" si="8"/>
        <v>1309.99</v>
      </c>
      <c r="M69" s="30">
        <f t="shared" si="8"/>
        <v>1309.99</v>
      </c>
      <c r="N69" s="30">
        <f t="shared" si="8"/>
        <v>1309.99</v>
      </c>
      <c r="O69" s="30">
        <f t="shared" si="8"/>
        <v>1309.99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8.75" customHeight="1">
      <c r="A70" s="1"/>
      <c r="B70" s="84" t="s">
        <v>51</v>
      </c>
      <c r="C70" s="14"/>
      <c r="D70" s="52">
        <v>0.0</v>
      </c>
      <c r="E70" s="52">
        <f t="shared" ref="E70:O70" si="9">E37</f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8.75" customHeight="1">
      <c r="A71" s="1"/>
      <c r="B71" s="77" t="s">
        <v>52</v>
      </c>
      <c r="C71" s="14"/>
      <c r="D71" s="30">
        <f t="shared" ref="D71:O71" si="10">D45</f>
        <v>0</v>
      </c>
      <c r="E71" s="30">
        <f t="shared" si="10"/>
        <v>0</v>
      </c>
      <c r="F71" s="30">
        <f t="shared" si="10"/>
        <v>0</v>
      </c>
      <c r="G71" s="30">
        <f t="shared" si="10"/>
        <v>0</v>
      </c>
      <c r="H71" s="30">
        <f t="shared" si="10"/>
        <v>0</v>
      </c>
      <c r="I71" s="30">
        <f t="shared" si="10"/>
        <v>0</v>
      </c>
      <c r="J71" s="30">
        <f t="shared" si="10"/>
        <v>0</v>
      </c>
      <c r="K71" s="30">
        <f t="shared" si="10"/>
        <v>0</v>
      </c>
      <c r="L71" s="30">
        <f t="shared" si="10"/>
        <v>0</v>
      </c>
      <c r="M71" s="30">
        <f t="shared" si="10"/>
        <v>0</v>
      </c>
      <c r="N71" s="30">
        <f t="shared" si="10"/>
        <v>0</v>
      </c>
      <c r="O71" s="30">
        <f t="shared" si="10"/>
        <v>0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8.75" customHeight="1">
      <c r="A72" s="1"/>
      <c r="B72" s="84" t="s">
        <v>53</v>
      </c>
      <c r="C72" s="14"/>
      <c r="D72" s="52">
        <f t="shared" ref="D72:O72" si="11">D55</f>
        <v>0</v>
      </c>
      <c r="E72" s="52">
        <f t="shared" si="11"/>
        <v>0</v>
      </c>
      <c r="F72" s="52">
        <f t="shared" si="11"/>
        <v>0</v>
      </c>
      <c r="G72" s="52">
        <f t="shared" si="11"/>
        <v>0</v>
      </c>
      <c r="H72" s="52">
        <f t="shared" si="11"/>
        <v>0</v>
      </c>
      <c r="I72" s="52">
        <f t="shared" si="11"/>
        <v>0</v>
      </c>
      <c r="J72" s="52">
        <f t="shared" si="11"/>
        <v>0</v>
      </c>
      <c r="K72" s="52">
        <f t="shared" si="11"/>
        <v>0</v>
      </c>
      <c r="L72" s="52">
        <f t="shared" si="11"/>
        <v>0</v>
      </c>
      <c r="M72" s="52">
        <f t="shared" si="11"/>
        <v>0</v>
      </c>
      <c r="N72" s="52">
        <f t="shared" si="11"/>
        <v>0</v>
      </c>
      <c r="O72" s="52">
        <f t="shared" si="11"/>
        <v>0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8.75" customHeight="1">
      <c r="A73" s="1"/>
      <c r="B73" s="78" t="s">
        <v>54</v>
      </c>
      <c r="C73" s="14"/>
      <c r="D73" s="30">
        <f t="shared" ref="D73:O73" si="12">D65</f>
        <v>2346.57</v>
      </c>
      <c r="E73" s="30">
        <f t="shared" si="12"/>
        <v>3244.04</v>
      </c>
      <c r="F73" s="30">
        <f t="shared" si="12"/>
        <v>2221.57</v>
      </c>
      <c r="G73" s="30">
        <f t="shared" si="12"/>
        <v>1797</v>
      </c>
      <c r="H73" s="30">
        <f t="shared" si="12"/>
        <v>1600</v>
      </c>
      <c r="I73" s="30">
        <f t="shared" si="12"/>
        <v>1417</v>
      </c>
      <c r="J73" s="30">
        <f t="shared" si="12"/>
        <v>1367</v>
      </c>
      <c r="K73" s="30">
        <f t="shared" si="12"/>
        <v>1300</v>
      </c>
      <c r="L73" s="30">
        <f t="shared" si="12"/>
        <v>1367</v>
      </c>
      <c r="M73" s="30">
        <f t="shared" si="12"/>
        <v>1367</v>
      </c>
      <c r="N73" s="30">
        <f t="shared" si="12"/>
        <v>1367</v>
      </c>
      <c r="O73" s="30">
        <f t="shared" si="12"/>
        <v>1367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8.75" customHeight="1">
      <c r="A74" s="36"/>
      <c r="B74" s="70" t="s">
        <v>55</v>
      </c>
      <c r="C74" s="14"/>
      <c r="D74" s="85">
        <f t="shared" ref="D74:O74" si="13">D68-(SUM(D69:D73))</f>
        <v>113.66</v>
      </c>
      <c r="E74" s="85">
        <f t="shared" si="13"/>
        <v>-150.28</v>
      </c>
      <c r="F74" s="85">
        <f t="shared" si="13"/>
        <v>751.44</v>
      </c>
      <c r="G74" s="85">
        <f t="shared" si="13"/>
        <v>462.94</v>
      </c>
      <c r="H74" s="85">
        <f t="shared" si="13"/>
        <v>-390</v>
      </c>
      <c r="I74" s="85">
        <f t="shared" si="13"/>
        <v>94.01</v>
      </c>
      <c r="J74" s="85">
        <f t="shared" si="13"/>
        <v>892.94</v>
      </c>
      <c r="K74" s="85">
        <f t="shared" si="13"/>
        <v>959.94</v>
      </c>
      <c r="L74" s="85">
        <f t="shared" si="13"/>
        <v>892.94</v>
      </c>
      <c r="M74" s="85">
        <f t="shared" si="13"/>
        <v>892.94</v>
      </c>
      <c r="N74" s="85">
        <f t="shared" si="13"/>
        <v>892.94</v>
      </c>
      <c r="O74" s="85">
        <f t="shared" si="13"/>
        <v>892.94</v>
      </c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</row>
    <row r="75" ht="15.75" customHeight="1">
      <c r="A75" s="1"/>
      <c r="B75" s="1"/>
      <c r="C75" s="1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1"/>
      <c r="C76" s="1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86" t="s">
        <v>56</v>
      </c>
      <c r="C77" s="87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88"/>
      <c r="C78" s="89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88"/>
      <c r="C79" s="89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88"/>
      <c r="C80" s="89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88"/>
      <c r="C81" s="89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88"/>
      <c r="C82" s="89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88"/>
      <c r="C83" s="89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88"/>
      <c r="C84" s="89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88"/>
      <c r="C85" s="89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88"/>
      <c r="C86" s="89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88"/>
      <c r="C87" s="89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88"/>
      <c r="C88" s="89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88"/>
      <c r="C89" s="89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88"/>
      <c r="C90" s="89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88"/>
      <c r="C91" s="89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88"/>
      <c r="C92" s="89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88"/>
      <c r="C93" s="89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88"/>
      <c r="C94" s="89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90"/>
      <c r="C95" s="91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92"/>
      <c r="C96" s="92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92"/>
      <c r="C97" s="92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93" t="s">
        <v>64</v>
      </c>
      <c r="C98" s="87"/>
      <c r="D98" s="94" t="s">
        <v>65</v>
      </c>
      <c r="E98" s="95"/>
      <c r="F98" s="95"/>
      <c r="G98" s="87"/>
      <c r="H98" s="94" t="s">
        <v>66</v>
      </c>
      <c r="I98" s="95"/>
      <c r="J98" s="95"/>
      <c r="K98" s="87"/>
      <c r="L98" s="94" t="s">
        <v>67</v>
      </c>
      <c r="M98" s="95"/>
      <c r="N98" s="95"/>
      <c r="O98" s="87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88"/>
      <c r="C99" s="89"/>
      <c r="D99" s="88"/>
      <c r="G99" s="89"/>
      <c r="H99" s="88"/>
      <c r="K99" s="89"/>
      <c r="L99" s="88"/>
      <c r="O99" s="89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88"/>
      <c r="C100" s="89"/>
      <c r="D100" s="88"/>
      <c r="G100" s="89"/>
      <c r="H100" s="88"/>
      <c r="K100" s="89"/>
      <c r="L100" s="88"/>
      <c r="O100" s="89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88"/>
      <c r="C101" s="89"/>
      <c r="D101" s="90"/>
      <c r="E101" s="96"/>
      <c r="F101" s="96"/>
      <c r="G101" s="91"/>
      <c r="H101" s="90"/>
      <c r="I101" s="96"/>
      <c r="J101" s="96"/>
      <c r="K101" s="91"/>
      <c r="L101" s="90"/>
      <c r="M101" s="96"/>
      <c r="N101" s="96"/>
      <c r="O101" s="9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97">
        <v>3000.0</v>
      </c>
      <c r="C102" s="98"/>
      <c r="D102" s="99">
        <v>25.0</v>
      </c>
      <c r="E102" s="95"/>
      <c r="F102" s="95"/>
      <c r="G102" s="87"/>
      <c r="H102" s="99" t="str">
        <f>SUM(#REF!)</f>
        <v>#REF!</v>
      </c>
      <c r="I102" s="95"/>
      <c r="J102" s="95"/>
      <c r="K102" s="87"/>
      <c r="L102" s="99" t="str">
        <f>B102-H102</f>
        <v>#REF!</v>
      </c>
      <c r="M102" s="95"/>
      <c r="N102" s="95"/>
      <c r="O102" s="87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88"/>
      <c r="C103" s="89"/>
      <c r="D103" s="88"/>
      <c r="G103" s="89"/>
      <c r="H103" s="88"/>
      <c r="K103" s="89"/>
      <c r="L103" s="88"/>
      <c r="O103" s="89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88"/>
      <c r="C104" s="89"/>
      <c r="D104" s="88"/>
      <c r="G104" s="89"/>
      <c r="H104" s="88"/>
      <c r="K104" s="89"/>
      <c r="L104" s="88"/>
      <c r="O104" s="89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90"/>
      <c r="C105" s="91"/>
      <c r="D105" s="90"/>
      <c r="E105" s="96"/>
      <c r="F105" s="96"/>
      <c r="G105" s="91"/>
      <c r="H105" s="90"/>
      <c r="I105" s="96"/>
      <c r="J105" s="96"/>
      <c r="K105" s="91"/>
      <c r="L105" s="90"/>
      <c r="M105" s="96"/>
      <c r="N105" s="96"/>
      <c r="O105" s="9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00"/>
      <c r="B106" s="101"/>
      <c r="C106" s="101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49">
    <mergeCell ref="B2:O2"/>
    <mergeCell ref="B4:C4"/>
    <mergeCell ref="B5:C5"/>
    <mergeCell ref="B9:C9"/>
    <mergeCell ref="B10:C10"/>
    <mergeCell ref="B11:C11"/>
    <mergeCell ref="B12:C12"/>
    <mergeCell ref="B13:C13"/>
    <mergeCell ref="B15:C15"/>
    <mergeCell ref="B16:C16"/>
    <mergeCell ref="B23:C23"/>
    <mergeCell ref="B25:C25"/>
    <mergeCell ref="B26:B27"/>
    <mergeCell ref="B30:B31"/>
    <mergeCell ref="B32:B33"/>
    <mergeCell ref="B34:B35"/>
    <mergeCell ref="B37:C37"/>
    <mergeCell ref="B39:C39"/>
    <mergeCell ref="B40:B43"/>
    <mergeCell ref="B45:C45"/>
    <mergeCell ref="B47:C47"/>
    <mergeCell ref="B48:B49"/>
    <mergeCell ref="B50:B52"/>
    <mergeCell ref="B53:B54"/>
    <mergeCell ref="B55:C55"/>
    <mergeCell ref="B57:C57"/>
    <mergeCell ref="B58:C58"/>
    <mergeCell ref="B59:C59"/>
    <mergeCell ref="B60:C60"/>
    <mergeCell ref="B63:C63"/>
    <mergeCell ref="B64:C64"/>
    <mergeCell ref="B65:C65"/>
    <mergeCell ref="B67:C67"/>
    <mergeCell ref="B68:C68"/>
    <mergeCell ref="B69:C69"/>
    <mergeCell ref="D98:G101"/>
    <mergeCell ref="H98:K101"/>
    <mergeCell ref="L98:O101"/>
    <mergeCell ref="D102:G105"/>
    <mergeCell ref="H102:K105"/>
    <mergeCell ref="L102:O105"/>
    <mergeCell ref="B70:C70"/>
    <mergeCell ref="B71:C71"/>
    <mergeCell ref="B72:C72"/>
    <mergeCell ref="B73:C73"/>
    <mergeCell ref="B74:C74"/>
    <mergeCell ref="B77:C95"/>
    <mergeCell ref="B98:C101"/>
    <mergeCell ref="B102:C105"/>
  </mergeCells>
  <conditionalFormatting sqref="D74:O74">
    <cfRule type="cellIs" dxfId="0" priority="1" operator="greaterThan">
      <formula>0</formula>
    </cfRule>
  </conditionalFormatting>
  <conditionalFormatting sqref="D74:O74">
    <cfRule type="cellIs" dxfId="1" priority="2" operator="lessThan">
      <formula>0</formula>
    </cfRule>
  </conditionalFormatting>
  <printOptions/>
  <pageMargins bottom="0.7480314960629921" footer="0.0" header="0.0" left="0.2362204724409449" right="0.2362204724409449" top="0.7480314960629921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10" t="s">
        <v>68</v>
      </c>
      <c r="C1" s="111"/>
      <c r="I1" s="112">
        <v>2025.0</v>
      </c>
      <c r="U1" s="111"/>
      <c r="V1" s="113"/>
      <c r="W1" s="113"/>
      <c r="X1" s="113"/>
      <c r="Y1" s="113"/>
      <c r="Z1" s="113"/>
    </row>
    <row r="2">
      <c r="C2" s="112" t="s">
        <v>69</v>
      </c>
      <c r="D2" s="112" t="s">
        <v>70</v>
      </c>
      <c r="E2" s="112" t="s">
        <v>71</v>
      </c>
      <c r="F2" s="112" t="s">
        <v>72</v>
      </c>
      <c r="G2" s="112" t="s">
        <v>73</v>
      </c>
      <c r="H2" s="112" t="s">
        <v>74</v>
      </c>
      <c r="I2" s="112" t="s">
        <v>75</v>
      </c>
      <c r="J2" s="112" t="s">
        <v>76</v>
      </c>
      <c r="K2" s="112" t="s">
        <v>77</v>
      </c>
      <c r="L2" s="112" t="s">
        <v>78</v>
      </c>
      <c r="M2" s="112" t="s">
        <v>79</v>
      </c>
      <c r="N2" s="112" t="s">
        <v>80</v>
      </c>
      <c r="O2" s="112" t="s">
        <v>69</v>
      </c>
      <c r="P2" s="112" t="s">
        <v>70</v>
      </c>
      <c r="Q2" s="112" t="s">
        <v>71</v>
      </c>
      <c r="R2" s="112" t="s">
        <v>72</v>
      </c>
      <c r="S2" s="112" t="s">
        <v>73</v>
      </c>
      <c r="T2" s="112" t="s">
        <v>74</v>
      </c>
      <c r="U2" s="111"/>
      <c r="V2" s="113"/>
      <c r="W2" s="113"/>
      <c r="X2" s="113"/>
      <c r="Y2" s="113"/>
      <c r="Z2" s="113"/>
    </row>
    <row r="3">
      <c r="A3" s="114" t="s">
        <v>81</v>
      </c>
      <c r="B3" s="115" t="s">
        <v>23</v>
      </c>
      <c r="C3" s="116">
        <v>213.0</v>
      </c>
      <c r="D3" s="117"/>
      <c r="E3" s="117"/>
      <c r="F3" s="117"/>
      <c r="G3" s="117"/>
      <c r="H3" s="117"/>
      <c r="I3" s="117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</row>
    <row r="4">
      <c r="B4" s="115" t="s">
        <v>23</v>
      </c>
      <c r="C4" s="118">
        <v>123.0</v>
      </c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</row>
    <row r="5">
      <c r="B5" s="115" t="s">
        <v>82</v>
      </c>
      <c r="C5" s="118">
        <v>123.0</v>
      </c>
      <c r="D5" s="113"/>
      <c r="E5" s="113"/>
      <c r="F5" s="117"/>
      <c r="G5" s="117"/>
      <c r="H5" s="117"/>
      <c r="I5" s="117"/>
      <c r="J5" s="117"/>
      <c r="K5" s="117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</row>
    <row r="6">
      <c r="B6" s="115" t="s">
        <v>83</v>
      </c>
      <c r="C6" s="116">
        <v>23.0</v>
      </c>
      <c r="D6" s="117"/>
      <c r="E6" s="117"/>
      <c r="F6" s="117"/>
      <c r="G6" s="117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</row>
    <row r="7">
      <c r="B7" s="115" t="s">
        <v>84</v>
      </c>
      <c r="C7" s="118">
        <v>434.0</v>
      </c>
      <c r="D7" s="113"/>
      <c r="E7" s="113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3"/>
      <c r="U7" s="113"/>
      <c r="V7" s="113"/>
      <c r="W7" s="113"/>
      <c r="X7" s="113"/>
      <c r="Y7" s="113"/>
      <c r="Z7" s="113"/>
    </row>
    <row r="8">
      <c r="B8" s="115" t="s">
        <v>85</v>
      </c>
      <c r="C8" s="118">
        <v>123.0</v>
      </c>
      <c r="D8" s="113"/>
      <c r="E8" s="117"/>
      <c r="F8" s="117"/>
      <c r="G8" s="117"/>
      <c r="H8" s="117"/>
      <c r="I8" s="117"/>
      <c r="J8" s="117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</row>
    <row r="9">
      <c r="B9" s="115" t="s">
        <v>86</v>
      </c>
      <c r="C9" s="116">
        <v>1232.0</v>
      </c>
      <c r="D9" s="117"/>
      <c r="E9" s="117"/>
      <c r="F9" s="117"/>
      <c r="G9" s="117"/>
      <c r="H9" s="117"/>
      <c r="I9" s="113"/>
      <c r="J9" s="117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</row>
    <row r="10">
      <c r="B10" s="115" t="s">
        <v>87</v>
      </c>
      <c r="C10" s="113"/>
      <c r="D10" s="117"/>
      <c r="E10" s="117"/>
      <c r="F10" s="117"/>
      <c r="G10" s="117"/>
      <c r="H10" s="117"/>
      <c r="I10" s="117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</row>
    <row r="11">
      <c r="B11" s="115" t="s">
        <v>25</v>
      </c>
      <c r="C11" s="117"/>
      <c r="D11" s="117"/>
      <c r="E11" s="117"/>
      <c r="F11" s="117"/>
      <c r="G11" s="117"/>
      <c r="H11" s="117"/>
      <c r="I11" s="117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</row>
    <row r="12">
      <c r="B12" s="115" t="s">
        <v>88</v>
      </c>
      <c r="C12" s="117"/>
      <c r="D12" s="117"/>
      <c r="E12" s="117"/>
      <c r="F12" s="117"/>
      <c r="G12" s="117"/>
      <c r="H12" s="117"/>
      <c r="I12" s="117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</row>
    <row r="13">
      <c r="A13" s="119"/>
      <c r="B13" s="120" t="s">
        <v>89</v>
      </c>
      <c r="C13" s="121"/>
      <c r="D13" s="121"/>
      <c r="E13" s="121"/>
      <c r="F13" s="121"/>
      <c r="G13" s="121"/>
      <c r="H13" s="121"/>
      <c r="I13" s="121"/>
      <c r="J13" s="121"/>
      <c r="K13" s="121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3"/>
      <c r="W13" s="113"/>
      <c r="X13" s="113"/>
      <c r="Y13" s="113"/>
      <c r="Z13" s="113"/>
    </row>
    <row r="14">
      <c r="A14" s="119"/>
      <c r="B14" s="120" t="s">
        <v>90</v>
      </c>
      <c r="C14" s="121"/>
      <c r="D14" s="121"/>
      <c r="E14" s="121"/>
      <c r="F14" s="121"/>
      <c r="G14" s="121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3"/>
      <c r="W14" s="113"/>
      <c r="X14" s="113"/>
      <c r="Y14" s="113"/>
      <c r="Z14" s="113"/>
    </row>
    <row r="15">
      <c r="A15" s="122"/>
      <c r="B15" s="123" t="s">
        <v>91</v>
      </c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2"/>
      <c r="V15" s="113"/>
      <c r="W15" s="113"/>
      <c r="X15" s="113"/>
      <c r="Y15" s="113"/>
      <c r="Z15" s="113"/>
    </row>
    <row r="16">
      <c r="A16" s="114" t="s">
        <v>92</v>
      </c>
      <c r="B16" s="115" t="s">
        <v>93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</row>
    <row r="17">
      <c r="B17" s="115" t="s">
        <v>94</v>
      </c>
      <c r="C17" s="117"/>
      <c r="D17" s="117"/>
      <c r="E17" s="117"/>
      <c r="F17" s="117"/>
      <c r="G17" s="117"/>
      <c r="H17" s="117"/>
      <c r="I17" s="117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</row>
    <row r="18">
      <c r="B18" s="115" t="s">
        <v>95</v>
      </c>
      <c r="C18" s="113"/>
      <c r="D18" s="113"/>
      <c r="E18" s="113"/>
      <c r="F18" s="113"/>
      <c r="G18" s="117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</row>
    <row r="19">
      <c r="A19" s="122"/>
      <c r="B19" s="123" t="s">
        <v>91</v>
      </c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2"/>
      <c r="V19" s="113"/>
      <c r="W19" s="113"/>
      <c r="X19" s="113"/>
      <c r="Y19" s="113"/>
      <c r="Z19" s="113"/>
    </row>
    <row r="20">
      <c r="A20" s="124"/>
      <c r="B20" s="125" t="s">
        <v>96</v>
      </c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4"/>
      <c r="V20" s="113"/>
      <c r="W20" s="113"/>
      <c r="X20" s="113"/>
      <c r="Y20" s="113"/>
      <c r="Z20" s="113"/>
    </row>
    <row r="21">
      <c r="A21" s="113"/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</row>
    <row r="22">
      <c r="A22" s="126"/>
      <c r="B22" s="126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</row>
    <row r="23">
      <c r="A23" s="126"/>
      <c r="B23" s="126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</row>
    <row r="24">
      <c r="A24" s="126"/>
      <c r="B24" s="126"/>
      <c r="C24" s="113"/>
      <c r="D24" s="113"/>
      <c r="E24" s="113"/>
      <c r="F24" s="117"/>
      <c r="G24" s="117"/>
      <c r="H24" s="117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</row>
    <row r="25">
      <c r="A25" s="126"/>
      <c r="B25" s="126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</row>
    <row r="26">
      <c r="A26" s="126"/>
      <c r="B26" s="126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</row>
    <row r="27">
      <c r="A27" s="126"/>
      <c r="B27" s="126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</row>
    <row r="28">
      <c r="A28" s="126"/>
      <c r="B28" s="126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</row>
    <row r="29">
      <c r="A29" s="126"/>
      <c r="B29" s="126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</row>
    <row r="30">
      <c r="A30" s="126"/>
      <c r="B30" s="126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</row>
    <row r="31">
      <c r="A31" s="126"/>
      <c r="B31" s="126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</row>
    <row r="32">
      <c r="A32" s="126"/>
      <c r="B32" s="126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</row>
    <row r="33">
      <c r="A33" s="126"/>
      <c r="B33" s="126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</row>
    <row r="34">
      <c r="A34" s="126"/>
      <c r="B34" s="126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13"/>
      <c r="W34" s="113"/>
      <c r="X34" s="113"/>
      <c r="Y34" s="113"/>
      <c r="Z34" s="113"/>
    </row>
    <row r="35">
      <c r="A35" s="126"/>
      <c r="B35" s="126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</row>
    <row r="36">
      <c r="A36" s="126"/>
      <c r="B36" s="126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</row>
    <row r="37">
      <c r="A37" s="126"/>
      <c r="B37" s="126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</row>
    <row r="38">
      <c r="A38" s="126"/>
      <c r="B38" s="126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</row>
    <row r="39">
      <c r="A39" s="126"/>
      <c r="B39" s="126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</row>
    <row r="40">
      <c r="A40" s="126"/>
      <c r="B40" s="126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</row>
    <row r="41">
      <c r="A41" s="126"/>
      <c r="B41" s="126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</row>
    <row r="42">
      <c r="A42" s="127"/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13"/>
      <c r="W42" s="113"/>
      <c r="X42" s="113"/>
      <c r="Y42" s="113"/>
      <c r="Z42" s="113"/>
    </row>
    <row r="43">
      <c r="A43" s="113"/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</row>
    <row r="44">
      <c r="A44" s="113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</row>
    <row r="45">
      <c r="A45" s="113"/>
      <c r="B45" s="113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</row>
    <row r="46">
      <c r="A46" s="113"/>
      <c r="B46" s="113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</row>
    <row r="47">
      <c r="A47" s="113"/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</row>
    <row r="48">
      <c r="A48" s="113"/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</row>
    <row r="49">
      <c r="A49" s="113"/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</row>
    <row r="50">
      <c r="A50" s="113"/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</row>
    <row r="51">
      <c r="A51" s="113"/>
      <c r="B51" s="113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</row>
    <row r="52">
      <c r="A52" s="113"/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</row>
    <row r="53">
      <c r="A53" s="113"/>
      <c r="B53" s="113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</row>
    <row r="54">
      <c r="A54" s="113"/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</row>
    <row r="55">
      <c r="A55" s="113"/>
      <c r="B55" s="113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</row>
    <row r="56">
      <c r="A56" s="113"/>
      <c r="B56" s="113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</row>
    <row r="57">
      <c r="A57" s="113"/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</row>
    <row r="58">
      <c r="A58" s="113"/>
      <c r="B58" s="113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</row>
    <row r="59">
      <c r="A59" s="113"/>
      <c r="B59" s="113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</row>
    <row r="60">
      <c r="A60" s="113"/>
      <c r="B60" s="113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</row>
    <row r="61">
      <c r="A61" s="113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</row>
    <row r="62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</row>
    <row r="63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</row>
    <row r="64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</row>
    <row r="65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</row>
    <row r="66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</row>
    <row r="67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</row>
    <row r="68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</row>
    <row r="69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</row>
    <row r="70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</row>
    <row r="71">
      <c r="A71" s="113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</row>
    <row r="72">
      <c r="A72" s="113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</row>
    <row r="73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</row>
    <row r="74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</row>
    <row r="75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Z75" s="113"/>
    </row>
    <row r="76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</row>
    <row r="77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</row>
    <row r="78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</row>
    <row r="79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</row>
    <row r="80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</row>
    <row r="81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</row>
    <row r="82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</row>
    <row r="83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</row>
    <row r="84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</row>
    <row r="85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</row>
    <row r="86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</row>
    <row r="87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</row>
    <row r="88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</row>
    <row r="89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</row>
    <row r="90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</row>
    <row r="91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</row>
    <row r="92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</row>
    <row r="93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</row>
    <row r="94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</row>
    <row r="95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</row>
    <row r="96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</row>
    <row r="97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</row>
    <row r="98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</row>
    <row r="99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</row>
    <row r="100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</row>
    <row r="101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</row>
    <row r="102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</row>
    <row r="103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</row>
    <row r="104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</row>
    <row r="105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</row>
    <row r="106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</row>
    <row r="107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</row>
    <row r="108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</row>
    <row r="109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</row>
    <row r="110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</row>
    <row r="111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</row>
    <row r="112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</row>
    <row r="113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</row>
    <row r="114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</row>
    <row r="115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</row>
    <row r="116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</row>
    <row r="117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</row>
    <row r="118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</row>
    <row r="119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</row>
    <row r="120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</row>
    <row r="121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</row>
    <row r="122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</row>
    <row r="123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</row>
    <row r="124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</row>
    <row r="125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</row>
    <row r="126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</row>
    <row r="127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</row>
    <row r="128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</row>
    <row r="129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</row>
    <row r="130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</row>
    <row r="131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</row>
    <row r="132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</row>
    <row r="133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</row>
    <row r="134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</row>
    <row r="135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</row>
    <row r="136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</row>
    <row r="137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</row>
    <row r="138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</row>
    <row r="139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</row>
    <row r="140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</row>
    <row r="141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</row>
    <row r="142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</row>
    <row r="143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</row>
    <row r="144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</row>
    <row r="145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</row>
    <row r="146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</row>
    <row r="147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</row>
    <row r="148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Z148" s="113"/>
    </row>
    <row r="149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</row>
    <row r="150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</row>
    <row r="151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</row>
    <row r="152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Z152" s="113"/>
    </row>
    <row r="153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Z153" s="113"/>
    </row>
    <row r="154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</row>
    <row r="155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</row>
    <row r="156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</row>
    <row r="157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</row>
    <row r="158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</row>
    <row r="159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Z159" s="113"/>
    </row>
    <row r="160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Z160" s="113"/>
    </row>
    <row r="161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Z161" s="113"/>
    </row>
    <row r="162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</row>
    <row r="163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</row>
    <row r="164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</row>
    <row r="165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Z165" s="113"/>
    </row>
    <row r="166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</row>
    <row r="167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</row>
    <row r="168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Z168" s="113"/>
    </row>
    <row r="169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Z169" s="113"/>
    </row>
    <row r="170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</row>
    <row r="171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Z171" s="113"/>
    </row>
    <row r="172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Z172" s="113"/>
    </row>
    <row r="173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Z173" s="113"/>
    </row>
    <row r="174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Z174" s="113"/>
    </row>
    <row r="175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Z175" s="113"/>
    </row>
    <row r="176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Z176" s="113"/>
    </row>
    <row r="177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Z177" s="113"/>
    </row>
    <row r="178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3"/>
    </row>
    <row r="179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Z179" s="113"/>
    </row>
    <row r="180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Z180" s="113"/>
    </row>
    <row r="181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Z181" s="113"/>
    </row>
    <row r="182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</row>
    <row r="183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</row>
    <row r="184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</row>
    <row r="185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</row>
    <row r="186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</row>
    <row r="187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</row>
    <row r="188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</row>
    <row r="189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</row>
    <row r="190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</row>
    <row r="191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</row>
    <row r="192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</row>
    <row r="193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</row>
    <row r="194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</row>
    <row r="195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</row>
    <row r="196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</row>
    <row r="197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</row>
    <row r="198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</row>
    <row r="199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</row>
    <row r="200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Z200" s="113"/>
    </row>
    <row r="201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Z201" s="113"/>
    </row>
    <row r="202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Z202" s="113"/>
    </row>
    <row r="203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Z203" s="113"/>
    </row>
    <row r="204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Z204" s="113"/>
    </row>
    <row r="205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Z205" s="113"/>
    </row>
    <row r="206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Z206" s="113"/>
    </row>
    <row r="207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Z207" s="113"/>
    </row>
    <row r="208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Z208" s="113"/>
    </row>
    <row r="209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Z209" s="113"/>
    </row>
    <row r="210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Z210" s="113"/>
    </row>
    <row r="211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Z211" s="113"/>
    </row>
    <row r="212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Z212" s="113"/>
    </row>
    <row r="213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Z213" s="113"/>
    </row>
    <row r="214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Z214" s="113"/>
    </row>
    <row r="215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Z215" s="113"/>
    </row>
    <row r="216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3"/>
    </row>
    <row r="217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</row>
    <row r="218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Z218" s="113"/>
    </row>
    <row r="219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Z219" s="113"/>
    </row>
    <row r="220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Z220" s="113"/>
    </row>
    <row r="221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Z221" s="113"/>
    </row>
    <row r="222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Z222" s="113"/>
    </row>
    <row r="223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Z223" s="113"/>
    </row>
    <row r="224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Z224" s="113"/>
    </row>
    <row r="225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Z225" s="113"/>
    </row>
    <row r="226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</row>
    <row r="227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</row>
    <row r="228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Z228" s="113"/>
    </row>
    <row r="229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Z229" s="113"/>
    </row>
    <row r="230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Z230" s="113"/>
    </row>
    <row r="231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Z231" s="113"/>
    </row>
    <row r="232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Z232" s="113"/>
    </row>
    <row r="233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Z233" s="113"/>
    </row>
    <row r="234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Z234" s="113"/>
    </row>
    <row r="235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Z235" s="113"/>
    </row>
    <row r="236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Z236" s="113"/>
    </row>
    <row r="237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Z237" s="113"/>
    </row>
    <row r="238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Z238" s="113"/>
    </row>
    <row r="239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Z239" s="113"/>
    </row>
    <row r="240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Z240" s="113"/>
    </row>
    <row r="241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Z241" s="113"/>
    </row>
    <row r="242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Z242" s="113"/>
    </row>
    <row r="243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Z243" s="113"/>
    </row>
    <row r="244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Z244" s="113"/>
    </row>
    <row r="245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Z245" s="113"/>
    </row>
    <row r="246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Z246" s="113"/>
    </row>
    <row r="247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Z247" s="113"/>
    </row>
    <row r="248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113"/>
    </row>
    <row r="249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Z249" s="113"/>
    </row>
    <row r="250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113"/>
    </row>
    <row r="251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113"/>
    </row>
    <row r="252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  <c r="Z252" s="113"/>
    </row>
    <row r="253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13"/>
      <c r="Y253" s="113"/>
      <c r="Z253" s="113"/>
    </row>
    <row r="254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3"/>
    </row>
    <row r="255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13"/>
      <c r="Y255" s="113"/>
      <c r="Z255" s="113"/>
    </row>
    <row r="256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  <c r="Y256" s="113"/>
      <c r="Z256" s="113"/>
    </row>
    <row r="257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  <c r="Z257" s="113"/>
    </row>
    <row r="258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13"/>
      <c r="Y258" s="113"/>
      <c r="Z258" s="113"/>
    </row>
    <row r="259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13"/>
      <c r="Y259" s="113"/>
      <c r="Z259" s="113"/>
    </row>
    <row r="260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13"/>
      <c r="Y260" s="113"/>
      <c r="Z260" s="113"/>
    </row>
    <row r="261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  <c r="X261" s="113"/>
      <c r="Y261" s="113"/>
      <c r="Z261" s="113"/>
    </row>
    <row r="262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13"/>
      <c r="Y262" s="113"/>
      <c r="Z262" s="113"/>
    </row>
    <row r="263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  <c r="X263" s="113"/>
      <c r="Y263" s="113"/>
      <c r="Z263" s="113"/>
    </row>
    <row r="264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13"/>
      <c r="Y264" s="113"/>
      <c r="Z264" s="113"/>
    </row>
    <row r="265">
      <c r="A265" s="113"/>
      <c r="B265" s="113"/>
      <c r="C265" s="113"/>
      <c r="D265" s="113"/>
      <c r="E265" s="113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  <c r="X265" s="113"/>
      <c r="Y265" s="113"/>
      <c r="Z265" s="113"/>
    </row>
    <row r="266">
      <c r="A266" s="113"/>
      <c r="B266" s="113"/>
      <c r="C266" s="113"/>
      <c r="D266" s="113"/>
      <c r="E266" s="113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13"/>
      <c r="Y266" s="113"/>
      <c r="Z266" s="113"/>
    </row>
    <row r="267">
      <c r="A267" s="113"/>
      <c r="B267" s="113"/>
      <c r="C267" s="113"/>
      <c r="D267" s="113"/>
      <c r="E267" s="113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  <c r="X267" s="113"/>
      <c r="Y267" s="113"/>
      <c r="Z267" s="113"/>
    </row>
    <row r="268">
      <c r="A268" s="113"/>
      <c r="B268" s="113"/>
      <c r="C268" s="113"/>
      <c r="D268" s="113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13"/>
      <c r="Y268" s="113"/>
      <c r="Z268" s="113"/>
    </row>
    <row r="269">
      <c r="A269" s="113"/>
      <c r="B269" s="113"/>
      <c r="C269" s="113"/>
      <c r="D269" s="113"/>
      <c r="E269" s="113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  <c r="X269" s="113"/>
      <c r="Y269" s="113"/>
      <c r="Z269" s="113"/>
    </row>
    <row r="270">
      <c r="A270" s="113"/>
      <c r="B270" s="113"/>
      <c r="C270" s="113"/>
      <c r="D270" s="113"/>
      <c r="E270" s="113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13"/>
      <c r="Y270" s="113"/>
      <c r="Z270" s="113"/>
    </row>
    <row r="271">
      <c r="A271" s="113"/>
      <c r="B271" s="113"/>
      <c r="C271" s="113"/>
      <c r="D271" s="113"/>
      <c r="E271" s="113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/>
      <c r="W271" s="113"/>
      <c r="X271" s="113"/>
      <c r="Y271" s="113"/>
      <c r="Z271" s="113"/>
    </row>
    <row r="272">
      <c r="A272" s="113"/>
      <c r="B272" s="113"/>
      <c r="C272" s="113"/>
      <c r="D272" s="113"/>
      <c r="E272" s="113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  <c r="X272" s="113"/>
      <c r="Y272" s="113"/>
      <c r="Z272" s="113"/>
    </row>
    <row r="273">
      <c r="A273" s="113"/>
      <c r="B273" s="113"/>
      <c r="C273" s="113"/>
      <c r="D273" s="113"/>
      <c r="E273" s="113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  <c r="X273" s="113"/>
      <c r="Y273" s="113"/>
      <c r="Z273" s="113"/>
    </row>
    <row r="274">
      <c r="A274" s="113"/>
      <c r="B274" s="113"/>
      <c r="C274" s="113"/>
      <c r="D274" s="113"/>
      <c r="E274" s="113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  <c r="X274" s="113"/>
      <c r="Y274" s="113"/>
      <c r="Z274" s="113"/>
    </row>
    <row r="275">
      <c r="A275" s="113"/>
      <c r="B275" s="113"/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</row>
    <row r="276">
      <c r="A276" s="113"/>
      <c r="B276" s="113"/>
      <c r="C276" s="113"/>
      <c r="D276" s="113"/>
      <c r="E276" s="113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/>
      <c r="W276" s="113"/>
      <c r="X276" s="113"/>
      <c r="Y276" s="113"/>
      <c r="Z276" s="113"/>
    </row>
    <row r="277">
      <c r="A277" s="113"/>
      <c r="B277" s="113"/>
      <c r="C277" s="113"/>
      <c r="D277" s="113"/>
      <c r="E277" s="113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3"/>
      <c r="X277" s="113"/>
      <c r="Y277" s="113"/>
      <c r="Z277" s="113"/>
    </row>
    <row r="278">
      <c r="A278" s="113"/>
      <c r="B278" s="113"/>
      <c r="C278" s="113"/>
      <c r="D278" s="113"/>
      <c r="E278" s="113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  <c r="X278" s="113"/>
      <c r="Y278" s="113"/>
      <c r="Z278" s="113"/>
    </row>
    <row r="279">
      <c r="A279" s="113"/>
      <c r="B279" s="113"/>
      <c r="C279" s="113"/>
      <c r="D279" s="113"/>
      <c r="E279" s="113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  <c r="X279" s="113"/>
      <c r="Y279" s="113"/>
      <c r="Z279" s="113"/>
    </row>
    <row r="280">
      <c r="A280" s="113"/>
      <c r="B280" s="113"/>
      <c r="C280" s="113"/>
      <c r="D280" s="113"/>
      <c r="E280" s="113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13"/>
      <c r="Y280" s="113"/>
      <c r="Z280" s="113"/>
    </row>
    <row r="281">
      <c r="A281" s="113"/>
      <c r="B281" s="113"/>
      <c r="C281" s="113"/>
      <c r="D281" s="113"/>
      <c r="E281" s="113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  <c r="X281" s="113"/>
      <c r="Y281" s="113"/>
      <c r="Z281" s="113"/>
    </row>
    <row r="282">
      <c r="A282" s="113"/>
      <c r="B282" s="113"/>
      <c r="C282" s="113"/>
      <c r="D282" s="113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  <c r="X282" s="113"/>
      <c r="Y282" s="113"/>
      <c r="Z282" s="113"/>
    </row>
    <row r="283">
      <c r="A283" s="113"/>
      <c r="B283" s="113"/>
      <c r="C283" s="113"/>
      <c r="D283" s="113"/>
      <c r="E283" s="113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13"/>
      <c r="Y283" s="113"/>
      <c r="Z283" s="113"/>
    </row>
    <row r="284">
      <c r="A284" s="113"/>
      <c r="B284" s="113"/>
      <c r="C284" s="113"/>
      <c r="D284" s="113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  <c r="X284" s="113"/>
      <c r="Y284" s="113"/>
      <c r="Z284" s="113"/>
    </row>
    <row r="285">
      <c r="A285" s="113"/>
      <c r="B285" s="113"/>
      <c r="C285" s="113"/>
      <c r="D285" s="113"/>
      <c r="E285" s="113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/>
      <c r="W285" s="113"/>
      <c r="X285" s="113"/>
      <c r="Y285" s="113"/>
      <c r="Z285" s="113"/>
    </row>
    <row r="286">
      <c r="A286" s="113"/>
      <c r="B286" s="113"/>
      <c r="C286" s="113"/>
      <c r="D286" s="113"/>
      <c r="E286" s="113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/>
      <c r="W286" s="113"/>
      <c r="X286" s="113"/>
      <c r="Y286" s="113"/>
      <c r="Z286" s="113"/>
    </row>
    <row r="287">
      <c r="A287" s="113"/>
      <c r="B287" s="113"/>
      <c r="C287" s="113"/>
      <c r="D287" s="113"/>
      <c r="E287" s="113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/>
      <c r="W287" s="113"/>
      <c r="X287" s="113"/>
      <c r="Y287" s="113"/>
      <c r="Z287" s="113"/>
    </row>
    <row r="288">
      <c r="A288" s="113"/>
      <c r="B288" s="113"/>
      <c r="C288" s="113"/>
      <c r="D288" s="113"/>
      <c r="E288" s="113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/>
      <c r="W288" s="113"/>
      <c r="X288" s="113"/>
      <c r="Y288" s="113"/>
      <c r="Z288" s="113"/>
    </row>
    <row r="289">
      <c r="A289" s="113"/>
      <c r="B289" s="113"/>
      <c r="C289" s="113"/>
      <c r="D289" s="113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13"/>
      <c r="Y289" s="113"/>
      <c r="Z289" s="113"/>
    </row>
    <row r="290">
      <c r="A290" s="113"/>
      <c r="B290" s="113"/>
      <c r="C290" s="113"/>
      <c r="D290" s="113"/>
      <c r="E290" s="113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  <c r="X290" s="113"/>
      <c r="Y290" s="113"/>
      <c r="Z290" s="113"/>
    </row>
    <row r="291">
      <c r="A291" s="113"/>
      <c r="B291" s="113"/>
      <c r="C291" s="113"/>
      <c r="D291" s="113"/>
      <c r="E291" s="113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13"/>
      <c r="Y291" s="113"/>
      <c r="Z291" s="113"/>
    </row>
    <row r="292">
      <c r="A292" s="113"/>
      <c r="B292" s="113"/>
      <c r="C292" s="113"/>
      <c r="D292" s="113"/>
      <c r="E292" s="113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3"/>
    </row>
    <row r="293">
      <c r="A293" s="113"/>
      <c r="B293" s="113"/>
      <c r="C293" s="113"/>
      <c r="D293" s="113"/>
      <c r="E293" s="113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13"/>
      <c r="Y293" s="113"/>
      <c r="Z293" s="113"/>
    </row>
    <row r="294">
      <c r="A294" s="113"/>
      <c r="B294" s="113"/>
      <c r="C294" s="113"/>
      <c r="D294" s="113"/>
      <c r="E294" s="113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  <c r="V294" s="113"/>
      <c r="W294" s="113"/>
      <c r="X294" s="113"/>
      <c r="Y294" s="113"/>
      <c r="Z294" s="113"/>
    </row>
    <row r="295">
      <c r="A295" s="113"/>
      <c r="B295" s="113"/>
      <c r="C295" s="113"/>
      <c r="D295" s="113"/>
      <c r="E295" s="113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13"/>
      <c r="Y295" s="113"/>
      <c r="Z295" s="113"/>
    </row>
    <row r="296">
      <c r="A296" s="113"/>
      <c r="B296" s="113"/>
      <c r="C296" s="113"/>
      <c r="D296" s="113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13"/>
      <c r="Y296" s="113"/>
      <c r="Z296" s="113"/>
    </row>
    <row r="297">
      <c r="A297" s="113"/>
      <c r="B297" s="113"/>
      <c r="C297" s="113"/>
      <c r="D297" s="113"/>
      <c r="E297" s="113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13"/>
      <c r="Y297" s="113"/>
      <c r="Z297" s="113"/>
    </row>
    <row r="298">
      <c r="A298" s="113"/>
      <c r="B298" s="113"/>
      <c r="C298" s="113"/>
      <c r="D298" s="113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13"/>
      <c r="Y298" s="113"/>
      <c r="Z298" s="113"/>
    </row>
    <row r="299">
      <c r="A299" s="113"/>
      <c r="B299" s="113"/>
      <c r="C299" s="113"/>
      <c r="D299" s="113"/>
      <c r="E299" s="113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  <c r="X299" s="113"/>
      <c r="Y299" s="113"/>
      <c r="Z299" s="113"/>
    </row>
    <row r="300">
      <c r="A300" s="113"/>
      <c r="B300" s="113"/>
      <c r="C300" s="113"/>
      <c r="D300" s="113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  <c r="Y300" s="113"/>
      <c r="Z300" s="113"/>
    </row>
    <row r="301">
      <c r="A301" s="113"/>
      <c r="B301" s="113"/>
      <c r="C301" s="113"/>
      <c r="D301" s="113"/>
      <c r="E301" s="113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  <c r="X301" s="113"/>
      <c r="Y301" s="113"/>
      <c r="Z301" s="113"/>
    </row>
    <row r="302">
      <c r="A302" s="113"/>
      <c r="B302" s="113"/>
      <c r="C302" s="113"/>
      <c r="D302" s="113"/>
      <c r="E302" s="113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13"/>
      <c r="Y302" s="113"/>
      <c r="Z302" s="113"/>
    </row>
    <row r="303">
      <c r="A303" s="113"/>
      <c r="B303" s="113"/>
      <c r="C303" s="113"/>
      <c r="D303" s="113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  <c r="Y303" s="113"/>
      <c r="Z303" s="113"/>
    </row>
    <row r="304">
      <c r="A304" s="113"/>
      <c r="B304" s="113"/>
      <c r="C304" s="113"/>
      <c r="D304" s="113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13"/>
      <c r="Y304" s="113"/>
      <c r="Z304" s="113"/>
    </row>
    <row r="305">
      <c r="A305" s="113"/>
      <c r="B305" s="113"/>
      <c r="C305" s="113"/>
      <c r="D305" s="113"/>
      <c r="E305" s="113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  <c r="X305" s="113"/>
      <c r="Y305" s="113"/>
      <c r="Z305" s="113"/>
    </row>
    <row r="306">
      <c r="A306" s="113"/>
      <c r="B306" s="113"/>
      <c r="C306" s="113"/>
      <c r="D306" s="113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13"/>
      <c r="Y306" s="113"/>
      <c r="Z306" s="113"/>
    </row>
    <row r="307">
      <c r="A307" s="113"/>
      <c r="B307" s="113"/>
      <c r="C307" s="113"/>
      <c r="D307" s="113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  <c r="Y307" s="113"/>
      <c r="Z307" s="113"/>
    </row>
    <row r="308">
      <c r="A308" s="113"/>
      <c r="B308" s="113"/>
      <c r="C308" s="113"/>
      <c r="D308" s="113"/>
      <c r="E308" s="113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  <c r="X308" s="113"/>
      <c r="Y308" s="113"/>
      <c r="Z308" s="113"/>
    </row>
    <row r="309">
      <c r="A309" s="113"/>
      <c r="B309" s="113"/>
      <c r="C309" s="113"/>
      <c r="D309" s="113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13"/>
      <c r="Y309" s="113"/>
      <c r="Z309" s="113"/>
    </row>
    <row r="310">
      <c r="A310" s="113"/>
      <c r="B310" s="113"/>
      <c r="C310" s="113"/>
      <c r="D310" s="113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/>
      <c r="W310" s="113"/>
      <c r="X310" s="113"/>
      <c r="Y310" s="113"/>
      <c r="Z310" s="113"/>
    </row>
    <row r="311">
      <c r="A311" s="113"/>
      <c r="B311" s="113"/>
      <c r="C311" s="113"/>
      <c r="D311" s="113"/>
      <c r="E311" s="113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  <c r="X311" s="113"/>
      <c r="Y311" s="113"/>
      <c r="Z311" s="113"/>
    </row>
    <row r="312">
      <c r="A312" s="113"/>
      <c r="B312" s="113"/>
      <c r="C312" s="113"/>
      <c r="D312" s="113"/>
      <c r="E312" s="113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13"/>
      <c r="Q312" s="113"/>
      <c r="R312" s="113"/>
      <c r="S312" s="113"/>
      <c r="T312" s="113"/>
      <c r="U312" s="113"/>
      <c r="V312" s="113"/>
      <c r="W312" s="113"/>
      <c r="X312" s="113"/>
      <c r="Y312" s="113"/>
      <c r="Z312" s="113"/>
    </row>
    <row r="313">
      <c r="A313" s="113"/>
      <c r="B313" s="113"/>
      <c r="C313" s="113"/>
      <c r="D313" s="113"/>
      <c r="E313" s="113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13"/>
      <c r="Y313" s="113"/>
      <c r="Z313" s="113"/>
    </row>
    <row r="314">
      <c r="A314" s="113"/>
      <c r="B314" s="113"/>
      <c r="C314" s="113"/>
      <c r="D314" s="113"/>
      <c r="E314" s="113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13"/>
      <c r="Y314" s="113"/>
      <c r="Z314" s="113"/>
    </row>
    <row r="315">
      <c r="A315" s="113"/>
      <c r="B315" s="113"/>
      <c r="C315" s="113"/>
      <c r="D315" s="113"/>
      <c r="E315" s="113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  <c r="X315" s="113"/>
      <c r="Y315" s="113"/>
      <c r="Z315" s="113"/>
    </row>
    <row r="316">
      <c r="A316" s="113"/>
      <c r="B316" s="113"/>
      <c r="C316" s="113"/>
      <c r="D316" s="113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  <c r="X316" s="113"/>
      <c r="Y316" s="113"/>
      <c r="Z316" s="113"/>
    </row>
    <row r="317">
      <c r="A317" s="113"/>
      <c r="B317" s="113"/>
      <c r="C317" s="113"/>
      <c r="D317" s="113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  <c r="Z317" s="113"/>
    </row>
    <row r="318">
      <c r="A318" s="113"/>
      <c r="B318" s="113"/>
      <c r="C318" s="113"/>
      <c r="D318" s="113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13"/>
      <c r="Y318" s="113"/>
      <c r="Z318" s="113"/>
    </row>
    <row r="319">
      <c r="A319" s="113"/>
      <c r="B319" s="113"/>
      <c r="C319" s="113"/>
      <c r="D319" s="113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  <c r="Y319" s="113"/>
      <c r="Z319" s="113"/>
    </row>
    <row r="320">
      <c r="A320" s="113"/>
      <c r="B320" s="113"/>
      <c r="C320" s="113"/>
      <c r="D320" s="113"/>
      <c r="E320" s="113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13"/>
      <c r="Y320" s="113"/>
      <c r="Z320" s="113"/>
    </row>
    <row r="321">
      <c r="A321" s="113"/>
      <c r="B321" s="113"/>
      <c r="C321" s="113"/>
      <c r="D321" s="113"/>
      <c r="E321" s="113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  <c r="Y321" s="113"/>
      <c r="Z321" s="113"/>
    </row>
    <row r="322">
      <c r="A322" s="113"/>
      <c r="B322" s="113"/>
      <c r="C322" s="113"/>
      <c r="D322" s="113"/>
      <c r="E322" s="113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  <c r="Y322" s="113"/>
      <c r="Z322" s="113"/>
    </row>
    <row r="323">
      <c r="A323" s="113"/>
      <c r="B323" s="113"/>
      <c r="C323" s="113"/>
      <c r="D323" s="113"/>
      <c r="E323" s="113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  <c r="X323" s="113"/>
      <c r="Y323" s="113"/>
      <c r="Z323" s="113"/>
    </row>
    <row r="324">
      <c r="A324" s="113"/>
      <c r="B324" s="113"/>
      <c r="C324" s="113"/>
      <c r="D324" s="113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  <c r="Y324" s="113"/>
      <c r="Z324" s="113"/>
    </row>
    <row r="325">
      <c r="A325" s="113"/>
      <c r="B325" s="113"/>
      <c r="C325" s="113"/>
      <c r="D325" s="113"/>
      <c r="E325" s="113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  <c r="X325" s="113"/>
      <c r="Y325" s="113"/>
      <c r="Z325" s="113"/>
    </row>
    <row r="326">
      <c r="A326" s="113"/>
      <c r="B326" s="113"/>
      <c r="C326" s="113"/>
      <c r="D326" s="113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13"/>
      <c r="Y326" s="113"/>
      <c r="Z326" s="113"/>
    </row>
    <row r="327">
      <c r="A327" s="113"/>
      <c r="B327" s="113"/>
      <c r="C327" s="113"/>
      <c r="D327" s="113"/>
      <c r="E327" s="113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13"/>
      <c r="Y327" s="113"/>
      <c r="Z327" s="113"/>
    </row>
    <row r="328">
      <c r="A328" s="113"/>
      <c r="B328" s="113"/>
      <c r="C328" s="113"/>
      <c r="D328" s="113"/>
      <c r="E328" s="113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13"/>
      <c r="Y328" s="113"/>
      <c r="Z328" s="113"/>
    </row>
    <row r="329">
      <c r="A329" s="113"/>
      <c r="B329" s="113"/>
      <c r="C329" s="113"/>
      <c r="D329" s="113"/>
      <c r="E329" s="113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13"/>
      <c r="Y329" s="113"/>
      <c r="Z329" s="113"/>
    </row>
    <row r="330">
      <c r="A330" s="113"/>
      <c r="B330" s="113"/>
      <c r="C330" s="113"/>
      <c r="D330" s="113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3"/>
    </row>
    <row r="331">
      <c r="A331" s="113"/>
      <c r="B331" s="113"/>
      <c r="C331" s="113"/>
      <c r="D331" s="113"/>
      <c r="E331" s="113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13"/>
      <c r="Y331" s="113"/>
      <c r="Z331" s="113"/>
    </row>
    <row r="332">
      <c r="A332" s="113"/>
      <c r="B332" s="113"/>
      <c r="C332" s="113"/>
      <c r="D332" s="113"/>
      <c r="E332" s="113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13"/>
      <c r="Y332" s="113"/>
      <c r="Z332" s="113"/>
    </row>
    <row r="333">
      <c r="A333" s="113"/>
      <c r="B333" s="113"/>
      <c r="C333" s="113"/>
      <c r="D333" s="113"/>
      <c r="E333" s="113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  <c r="Y333" s="113"/>
      <c r="Z333" s="113"/>
    </row>
    <row r="334">
      <c r="A334" s="113"/>
      <c r="B334" s="113"/>
      <c r="C334" s="113"/>
      <c r="D334" s="113"/>
      <c r="E334" s="113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13"/>
      <c r="Y334" s="113"/>
      <c r="Z334" s="113"/>
    </row>
    <row r="335">
      <c r="A335" s="113"/>
      <c r="B335" s="113"/>
      <c r="C335" s="113"/>
      <c r="D335" s="113"/>
      <c r="E335" s="113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13"/>
      <c r="Y335" s="113"/>
      <c r="Z335" s="113"/>
    </row>
    <row r="336">
      <c r="A336" s="113"/>
      <c r="B336" s="113"/>
      <c r="C336" s="113"/>
      <c r="D336" s="113"/>
      <c r="E336" s="113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  <c r="X336" s="113"/>
      <c r="Y336" s="113"/>
      <c r="Z336" s="113"/>
    </row>
    <row r="337">
      <c r="A337" s="113"/>
      <c r="B337" s="113"/>
      <c r="C337" s="113"/>
      <c r="D337" s="113"/>
      <c r="E337" s="113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13"/>
      <c r="Y337" s="113"/>
      <c r="Z337" s="113"/>
    </row>
    <row r="338">
      <c r="A338" s="113"/>
      <c r="B338" s="113"/>
      <c r="C338" s="113"/>
      <c r="D338" s="113"/>
      <c r="E338" s="113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  <c r="X338" s="113"/>
      <c r="Y338" s="113"/>
      <c r="Z338" s="113"/>
    </row>
    <row r="339">
      <c r="A339" s="113"/>
      <c r="B339" s="113"/>
      <c r="C339" s="113"/>
      <c r="D339" s="113"/>
      <c r="E339" s="113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13"/>
      <c r="Y339" s="113"/>
      <c r="Z339" s="113"/>
    </row>
    <row r="340">
      <c r="A340" s="113"/>
      <c r="B340" s="113"/>
      <c r="C340" s="113"/>
      <c r="D340" s="113"/>
      <c r="E340" s="113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  <c r="X340" s="113"/>
      <c r="Y340" s="113"/>
      <c r="Z340" s="113"/>
    </row>
    <row r="341">
      <c r="A341" s="113"/>
      <c r="B341" s="113"/>
      <c r="C341" s="113"/>
      <c r="D341" s="113"/>
      <c r="E341" s="113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13"/>
      <c r="Y341" s="113"/>
      <c r="Z341" s="113"/>
    </row>
    <row r="342">
      <c r="A342" s="113"/>
      <c r="B342" s="113"/>
      <c r="C342" s="113"/>
      <c r="D342" s="113"/>
      <c r="E342" s="113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13"/>
      <c r="Y342" s="113"/>
      <c r="Z342" s="113"/>
    </row>
    <row r="343">
      <c r="A343" s="113"/>
      <c r="B343" s="113"/>
      <c r="C343" s="113"/>
      <c r="D343" s="113"/>
      <c r="E343" s="113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  <c r="X343" s="113"/>
      <c r="Y343" s="113"/>
      <c r="Z343" s="113"/>
    </row>
    <row r="344">
      <c r="A344" s="113"/>
      <c r="B344" s="113"/>
      <c r="C344" s="113"/>
      <c r="D344" s="113"/>
      <c r="E344" s="113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  <c r="Y344" s="113"/>
      <c r="Z344" s="113"/>
    </row>
    <row r="345">
      <c r="A345" s="113"/>
      <c r="B345" s="113"/>
      <c r="C345" s="113"/>
      <c r="D345" s="113"/>
      <c r="E345" s="113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  <c r="X345" s="113"/>
      <c r="Y345" s="113"/>
      <c r="Z345" s="113"/>
    </row>
    <row r="346">
      <c r="A346" s="113"/>
      <c r="B346" s="113"/>
      <c r="C346" s="113"/>
      <c r="D346" s="113"/>
      <c r="E346" s="113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  <c r="X346" s="113"/>
      <c r="Y346" s="113"/>
      <c r="Z346" s="113"/>
    </row>
    <row r="347">
      <c r="A347" s="113"/>
      <c r="B347" s="113"/>
      <c r="C347" s="113"/>
      <c r="D347" s="113"/>
      <c r="E347" s="113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  <c r="X347" s="113"/>
      <c r="Y347" s="113"/>
      <c r="Z347" s="113"/>
    </row>
    <row r="348">
      <c r="A348" s="113"/>
      <c r="B348" s="113"/>
      <c r="C348" s="113"/>
      <c r="D348" s="113"/>
      <c r="E348" s="113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  <c r="X348" s="113"/>
      <c r="Y348" s="113"/>
      <c r="Z348" s="113"/>
    </row>
    <row r="349">
      <c r="A349" s="113"/>
      <c r="B349" s="113"/>
      <c r="C349" s="113"/>
      <c r="D349" s="113"/>
      <c r="E349" s="113"/>
      <c r="F349" s="113"/>
      <c r="G349" s="113"/>
      <c r="H349" s="113"/>
      <c r="I349" s="113"/>
      <c r="J349" s="113"/>
      <c r="K349" s="113"/>
      <c r="L349" s="113"/>
      <c r="M349" s="113"/>
      <c r="N349" s="113"/>
      <c r="O349" s="113"/>
      <c r="P349" s="113"/>
      <c r="Q349" s="113"/>
      <c r="R349" s="113"/>
      <c r="S349" s="113"/>
      <c r="T349" s="113"/>
      <c r="U349" s="113"/>
      <c r="V349" s="113"/>
      <c r="W349" s="113"/>
      <c r="X349" s="113"/>
      <c r="Y349" s="113"/>
      <c r="Z349" s="113"/>
    </row>
    <row r="350">
      <c r="A350" s="113"/>
      <c r="B350" s="113"/>
      <c r="C350" s="113"/>
      <c r="D350" s="113"/>
      <c r="E350" s="113"/>
      <c r="F350" s="113"/>
      <c r="G350" s="113"/>
      <c r="H350" s="113"/>
      <c r="I350" s="113"/>
      <c r="J350" s="113"/>
      <c r="K350" s="113"/>
      <c r="L350" s="113"/>
      <c r="M350" s="113"/>
      <c r="N350" s="113"/>
      <c r="O350" s="113"/>
      <c r="P350" s="113"/>
      <c r="Q350" s="113"/>
      <c r="R350" s="113"/>
      <c r="S350" s="113"/>
      <c r="T350" s="113"/>
      <c r="U350" s="113"/>
      <c r="V350" s="113"/>
      <c r="W350" s="113"/>
      <c r="X350" s="113"/>
      <c r="Y350" s="113"/>
      <c r="Z350" s="113"/>
    </row>
    <row r="351">
      <c r="A351" s="113"/>
      <c r="B351" s="113"/>
      <c r="C351" s="113"/>
      <c r="D351" s="113"/>
      <c r="E351" s="113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13"/>
      <c r="Q351" s="113"/>
      <c r="R351" s="113"/>
      <c r="S351" s="113"/>
      <c r="T351" s="113"/>
      <c r="U351" s="113"/>
      <c r="V351" s="113"/>
      <c r="W351" s="113"/>
      <c r="X351" s="113"/>
      <c r="Y351" s="113"/>
      <c r="Z351" s="113"/>
    </row>
    <row r="352">
      <c r="A352" s="113"/>
      <c r="B352" s="113"/>
      <c r="C352" s="113"/>
      <c r="D352" s="113"/>
      <c r="E352" s="113"/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  <c r="R352" s="113"/>
      <c r="S352" s="113"/>
      <c r="T352" s="113"/>
      <c r="U352" s="113"/>
      <c r="V352" s="113"/>
      <c r="W352" s="113"/>
      <c r="X352" s="113"/>
      <c r="Y352" s="113"/>
      <c r="Z352" s="113"/>
    </row>
    <row r="353">
      <c r="A353" s="113"/>
      <c r="B353" s="113"/>
      <c r="C353" s="113"/>
      <c r="D353" s="113"/>
      <c r="E353" s="113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  <c r="R353" s="113"/>
      <c r="S353" s="113"/>
      <c r="T353" s="113"/>
      <c r="U353" s="113"/>
      <c r="V353" s="113"/>
      <c r="W353" s="113"/>
      <c r="X353" s="113"/>
      <c r="Y353" s="113"/>
      <c r="Z353" s="113"/>
    </row>
    <row r="354">
      <c r="A354" s="113"/>
      <c r="B354" s="113"/>
      <c r="C354" s="113"/>
      <c r="D354" s="113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  <c r="X354" s="113"/>
      <c r="Y354" s="113"/>
      <c r="Z354" s="113"/>
    </row>
    <row r="355">
      <c r="A355" s="113"/>
      <c r="B355" s="113"/>
      <c r="C355" s="113"/>
      <c r="D355" s="113"/>
      <c r="E355" s="113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13"/>
      <c r="Q355" s="113"/>
      <c r="R355" s="113"/>
      <c r="S355" s="113"/>
      <c r="T355" s="113"/>
      <c r="U355" s="113"/>
      <c r="V355" s="113"/>
      <c r="W355" s="113"/>
      <c r="X355" s="113"/>
      <c r="Y355" s="113"/>
      <c r="Z355" s="113"/>
    </row>
    <row r="356">
      <c r="A356" s="113"/>
      <c r="B356" s="113"/>
      <c r="C356" s="113"/>
      <c r="D356" s="113"/>
      <c r="E356" s="113"/>
      <c r="F356" s="113"/>
      <c r="G356" s="113"/>
      <c r="H356" s="113"/>
      <c r="I356" s="113"/>
      <c r="J356" s="113"/>
      <c r="K356" s="113"/>
      <c r="L356" s="113"/>
      <c r="M356" s="113"/>
      <c r="N356" s="113"/>
      <c r="O356" s="113"/>
      <c r="P356" s="113"/>
      <c r="Q356" s="113"/>
      <c r="R356" s="113"/>
      <c r="S356" s="113"/>
      <c r="T356" s="113"/>
      <c r="U356" s="113"/>
      <c r="V356" s="113"/>
      <c r="W356" s="113"/>
      <c r="X356" s="113"/>
      <c r="Y356" s="113"/>
      <c r="Z356" s="113"/>
    </row>
    <row r="357">
      <c r="A357" s="113"/>
      <c r="B357" s="113"/>
      <c r="C357" s="113"/>
      <c r="D357" s="113"/>
      <c r="E357" s="113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  <c r="X357" s="113"/>
      <c r="Y357" s="113"/>
      <c r="Z357" s="113"/>
    </row>
    <row r="358">
      <c r="A358" s="113"/>
      <c r="B358" s="113"/>
      <c r="C358" s="113"/>
      <c r="D358" s="113"/>
      <c r="E358" s="113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13"/>
      <c r="Q358" s="113"/>
      <c r="R358" s="113"/>
      <c r="S358" s="113"/>
      <c r="T358" s="113"/>
      <c r="U358" s="113"/>
      <c r="V358" s="113"/>
      <c r="W358" s="113"/>
      <c r="X358" s="113"/>
      <c r="Y358" s="113"/>
      <c r="Z358" s="113"/>
    </row>
    <row r="359">
      <c r="A359" s="113"/>
      <c r="B359" s="113"/>
      <c r="C359" s="113"/>
      <c r="D359" s="113"/>
      <c r="E359" s="113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  <c r="V359" s="113"/>
      <c r="W359" s="113"/>
      <c r="X359" s="113"/>
      <c r="Y359" s="113"/>
      <c r="Z359" s="113"/>
    </row>
    <row r="360">
      <c r="A360" s="113"/>
      <c r="B360" s="113"/>
      <c r="C360" s="113"/>
      <c r="D360" s="113"/>
      <c r="E360" s="113"/>
      <c r="F360" s="113"/>
      <c r="G360" s="113"/>
      <c r="H360" s="113"/>
      <c r="I360" s="113"/>
      <c r="J360" s="113"/>
      <c r="K360" s="113"/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  <c r="V360" s="113"/>
      <c r="W360" s="113"/>
      <c r="X360" s="113"/>
      <c r="Y360" s="113"/>
      <c r="Z360" s="113"/>
    </row>
    <row r="361">
      <c r="A361" s="113"/>
      <c r="B361" s="113"/>
      <c r="C361" s="113"/>
      <c r="D361" s="113"/>
      <c r="E361" s="113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  <c r="X361" s="113"/>
      <c r="Y361" s="113"/>
      <c r="Z361" s="113"/>
    </row>
    <row r="362">
      <c r="A362" s="113"/>
      <c r="B362" s="113"/>
      <c r="C362" s="113"/>
      <c r="D362" s="113"/>
      <c r="E362" s="113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  <c r="X362" s="113"/>
      <c r="Y362" s="113"/>
      <c r="Z362" s="113"/>
    </row>
    <row r="363">
      <c r="A363" s="113"/>
      <c r="B363" s="113"/>
      <c r="C363" s="113"/>
      <c r="D363" s="113"/>
      <c r="E363" s="113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  <c r="U363" s="113"/>
      <c r="V363" s="113"/>
      <c r="W363" s="113"/>
      <c r="X363" s="113"/>
      <c r="Y363" s="113"/>
      <c r="Z363" s="113"/>
    </row>
    <row r="364">
      <c r="A364" s="113"/>
      <c r="B364" s="113"/>
      <c r="C364" s="113"/>
      <c r="D364" s="113"/>
      <c r="E364" s="113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  <c r="X364" s="113"/>
      <c r="Y364" s="113"/>
      <c r="Z364" s="113"/>
    </row>
    <row r="365">
      <c r="A365" s="113"/>
      <c r="B365" s="113"/>
      <c r="C365" s="113"/>
      <c r="D365" s="113"/>
      <c r="E365" s="113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13"/>
      <c r="Y365" s="113"/>
      <c r="Z365" s="113"/>
    </row>
    <row r="366">
      <c r="A366" s="113"/>
      <c r="B366" s="113"/>
      <c r="C366" s="113"/>
      <c r="D366" s="113"/>
      <c r="E366" s="113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  <c r="X366" s="113"/>
      <c r="Y366" s="113"/>
      <c r="Z366" s="113"/>
    </row>
    <row r="367">
      <c r="A367" s="113"/>
      <c r="B367" s="113"/>
      <c r="C367" s="113"/>
      <c r="D367" s="113"/>
      <c r="E367" s="113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  <c r="X367" s="113"/>
      <c r="Y367" s="113"/>
      <c r="Z367" s="113"/>
    </row>
    <row r="368">
      <c r="A368" s="113"/>
      <c r="B368" s="113"/>
      <c r="C368" s="113"/>
      <c r="D368" s="113"/>
      <c r="E368" s="113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3"/>
    </row>
    <row r="369">
      <c r="A369" s="113"/>
      <c r="B369" s="113"/>
      <c r="C369" s="113"/>
      <c r="D369" s="113"/>
      <c r="E369" s="113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13"/>
      <c r="Y369" s="113"/>
      <c r="Z369" s="113"/>
    </row>
    <row r="370">
      <c r="A370" s="113"/>
      <c r="B370" s="113"/>
      <c r="C370" s="113"/>
      <c r="D370" s="113"/>
      <c r="E370" s="113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  <c r="V370" s="113"/>
      <c r="W370" s="113"/>
      <c r="X370" s="113"/>
      <c r="Y370" s="113"/>
      <c r="Z370" s="113"/>
    </row>
    <row r="371">
      <c r="A371" s="113"/>
      <c r="B371" s="113"/>
      <c r="C371" s="113"/>
      <c r="D371" s="113"/>
      <c r="E371" s="113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13"/>
      <c r="Y371" s="113"/>
      <c r="Z371" s="113"/>
    </row>
    <row r="372">
      <c r="A372" s="113"/>
      <c r="B372" s="113"/>
      <c r="C372" s="113"/>
      <c r="D372" s="113"/>
      <c r="E372" s="113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13"/>
      <c r="Y372" s="113"/>
      <c r="Z372" s="113"/>
    </row>
    <row r="373">
      <c r="A373" s="113"/>
      <c r="B373" s="113"/>
      <c r="C373" s="113"/>
      <c r="D373" s="113"/>
      <c r="E373" s="113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13"/>
      <c r="Y373" s="113"/>
      <c r="Z373" s="113"/>
    </row>
    <row r="374">
      <c r="A374" s="113"/>
      <c r="B374" s="113"/>
      <c r="C374" s="113"/>
      <c r="D374" s="113"/>
      <c r="E374" s="113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13"/>
      <c r="Y374" s="113"/>
      <c r="Z374" s="113"/>
    </row>
    <row r="375">
      <c r="A375" s="113"/>
      <c r="B375" s="113"/>
      <c r="C375" s="113"/>
      <c r="D375" s="113"/>
      <c r="E375" s="113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  <c r="X375" s="113"/>
      <c r="Y375" s="113"/>
      <c r="Z375" s="113"/>
    </row>
    <row r="376">
      <c r="A376" s="113"/>
      <c r="B376" s="113"/>
      <c r="C376" s="113"/>
      <c r="D376" s="113"/>
      <c r="E376" s="113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13"/>
      <c r="Q376" s="113"/>
      <c r="R376" s="113"/>
      <c r="S376" s="113"/>
      <c r="T376" s="113"/>
      <c r="U376" s="113"/>
      <c r="V376" s="113"/>
      <c r="W376" s="113"/>
      <c r="X376" s="113"/>
      <c r="Y376" s="113"/>
      <c r="Z376" s="113"/>
    </row>
    <row r="377">
      <c r="A377" s="113"/>
      <c r="B377" s="113"/>
      <c r="C377" s="113"/>
      <c r="D377" s="113"/>
      <c r="E377" s="113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  <c r="X377" s="113"/>
      <c r="Y377" s="113"/>
      <c r="Z377" s="113"/>
    </row>
    <row r="378">
      <c r="A378" s="113"/>
      <c r="B378" s="113"/>
      <c r="C378" s="113"/>
      <c r="D378" s="113"/>
      <c r="E378" s="113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13"/>
      <c r="Y378" s="113"/>
      <c r="Z378" s="113"/>
    </row>
    <row r="379">
      <c r="A379" s="113"/>
      <c r="B379" s="113"/>
      <c r="C379" s="113"/>
      <c r="D379" s="113"/>
      <c r="E379" s="113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  <c r="X379" s="113"/>
      <c r="Y379" s="113"/>
      <c r="Z379" s="113"/>
    </row>
    <row r="380">
      <c r="A380" s="113"/>
      <c r="B380" s="113"/>
      <c r="C380" s="113"/>
      <c r="D380" s="113"/>
      <c r="E380" s="113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  <c r="X380" s="113"/>
      <c r="Y380" s="113"/>
      <c r="Z380" s="113"/>
    </row>
    <row r="381">
      <c r="A381" s="113"/>
      <c r="B381" s="113"/>
      <c r="C381" s="113"/>
      <c r="D381" s="113"/>
      <c r="E381" s="113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13"/>
      <c r="Q381" s="113"/>
      <c r="R381" s="113"/>
      <c r="S381" s="113"/>
      <c r="T381" s="113"/>
      <c r="U381" s="113"/>
      <c r="V381" s="113"/>
      <c r="W381" s="113"/>
      <c r="X381" s="113"/>
      <c r="Y381" s="113"/>
      <c r="Z381" s="113"/>
    </row>
    <row r="382">
      <c r="A382" s="113"/>
      <c r="B382" s="113"/>
      <c r="C382" s="113"/>
      <c r="D382" s="113"/>
      <c r="E382" s="113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  <c r="X382" s="113"/>
      <c r="Y382" s="113"/>
      <c r="Z382" s="113"/>
    </row>
    <row r="383">
      <c r="A383" s="113"/>
      <c r="B383" s="113"/>
      <c r="C383" s="113"/>
      <c r="D383" s="113"/>
      <c r="E383" s="113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  <c r="P383" s="113"/>
      <c r="Q383" s="113"/>
      <c r="R383" s="113"/>
      <c r="S383" s="113"/>
      <c r="T383" s="113"/>
      <c r="U383" s="113"/>
      <c r="V383" s="113"/>
      <c r="W383" s="113"/>
      <c r="X383" s="113"/>
      <c r="Y383" s="113"/>
      <c r="Z383" s="113"/>
    </row>
    <row r="384">
      <c r="A384" s="113"/>
      <c r="B384" s="113"/>
      <c r="C384" s="113"/>
      <c r="D384" s="113"/>
      <c r="E384" s="113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  <c r="X384" s="113"/>
      <c r="Y384" s="113"/>
      <c r="Z384" s="113"/>
    </row>
    <row r="385">
      <c r="A385" s="113"/>
      <c r="B385" s="113"/>
      <c r="C385" s="113"/>
      <c r="D385" s="113"/>
      <c r="E385" s="113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  <c r="X385" s="113"/>
      <c r="Y385" s="113"/>
      <c r="Z385" s="113"/>
    </row>
    <row r="386">
      <c r="A386" s="113"/>
      <c r="B386" s="113"/>
      <c r="C386" s="113"/>
      <c r="D386" s="113"/>
      <c r="E386" s="113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  <c r="X386" s="113"/>
      <c r="Y386" s="113"/>
      <c r="Z386" s="113"/>
    </row>
    <row r="387">
      <c r="A387" s="113"/>
      <c r="B387" s="113"/>
      <c r="C387" s="113"/>
      <c r="D387" s="113"/>
      <c r="E387" s="113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  <c r="P387" s="113"/>
      <c r="Q387" s="113"/>
      <c r="R387" s="113"/>
      <c r="S387" s="113"/>
      <c r="T387" s="113"/>
      <c r="U387" s="113"/>
      <c r="V387" s="113"/>
      <c r="W387" s="113"/>
      <c r="X387" s="113"/>
      <c r="Y387" s="113"/>
      <c r="Z387" s="113"/>
    </row>
    <row r="388">
      <c r="A388" s="113"/>
      <c r="B388" s="113"/>
      <c r="C388" s="113"/>
      <c r="D388" s="113"/>
      <c r="E388" s="113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  <c r="X388" s="113"/>
      <c r="Y388" s="113"/>
      <c r="Z388" s="113"/>
    </row>
    <row r="389">
      <c r="A389" s="113"/>
      <c r="B389" s="113"/>
      <c r="C389" s="113"/>
      <c r="D389" s="113"/>
      <c r="E389" s="113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13"/>
      <c r="Y389" s="113"/>
      <c r="Z389" s="113"/>
    </row>
    <row r="390">
      <c r="A390" s="113"/>
      <c r="B390" s="113"/>
      <c r="C390" s="113"/>
      <c r="D390" s="113"/>
      <c r="E390" s="113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13"/>
      <c r="Y390" s="113"/>
      <c r="Z390" s="113"/>
    </row>
    <row r="391">
      <c r="A391" s="113"/>
      <c r="B391" s="113"/>
      <c r="C391" s="113"/>
      <c r="D391" s="113"/>
      <c r="E391" s="113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  <c r="P391" s="113"/>
      <c r="Q391" s="113"/>
      <c r="R391" s="113"/>
      <c r="S391" s="113"/>
      <c r="T391" s="113"/>
      <c r="U391" s="113"/>
      <c r="V391" s="113"/>
      <c r="W391" s="113"/>
      <c r="X391" s="113"/>
      <c r="Y391" s="113"/>
      <c r="Z391" s="113"/>
    </row>
    <row r="392">
      <c r="A392" s="113"/>
      <c r="B392" s="113"/>
      <c r="C392" s="113"/>
      <c r="D392" s="113"/>
      <c r="E392" s="113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  <c r="X392" s="113"/>
      <c r="Y392" s="113"/>
      <c r="Z392" s="113"/>
    </row>
    <row r="393">
      <c r="A393" s="113"/>
      <c r="B393" s="113"/>
      <c r="C393" s="113"/>
      <c r="D393" s="113"/>
      <c r="E393" s="113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  <c r="V393" s="113"/>
      <c r="W393" s="113"/>
      <c r="X393" s="113"/>
      <c r="Y393" s="113"/>
      <c r="Z393" s="113"/>
    </row>
    <row r="394">
      <c r="A394" s="113"/>
      <c r="B394" s="113"/>
      <c r="C394" s="113"/>
      <c r="D394" s="113"/>
      <c r="E394" s="113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  <c r="X394" s="113"/>
      <c r="Y394" s="113"/>
      <c r="Z394" s="113"/>
    </row>
    <row r="395">
      <c r="A395" s="113"/>
      <c r="B395" s="113"/>
      <c r="C395" s="113"/>
      <c r="D395" s="113"/>
      <c r="E395" s="113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13"/>
      <c r="Y395" s="113"/>
      <c r="Z395" s="113"/>
    </row>
    <row r="396">
      <c r="A396" s="113"/>
      <c r="B396" s="113"/>
      <c r="C396" s="113"/>
      <c r="D396" s="113"/>
      <c r="E396" s="113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  <c r="X396" s="113"/>
      <c r="Y396" s="113"/>
      <c r="Z396" s="113"/>
    </row>
    <row r="397">
      <c r="A397" s="113"/>
      <c r="B397" s="113"/>
      <c r="C397" s="113"/>
      <c r="D397" s="113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  <c r="Y397" s="113"/>
      <c r="Z397" s="113"/>
    </row>
    <row r="398">
      <c r="A398" s="113"/>
      <c r="B398" s="113"/>
      <c r="C398" s="113"/>
      <c r="D398" s="113"/>
      <c r="E398" s="113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  <c r="X398" s="113"/>
      <c r="Y398" s="113"/>
      <c r="Z398" s="113"/>
    </row>
    <row r="399">
      <c r="A399" s="113"/>
      <c r="B399" s="113"/>
      <c r="C399" s="113"/>
      <c r="D399" s="113"/>
      <c r="E399" s="113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13"/>
      <c r="Y399" s="113"/>
      <c r="Z399" s="113"/>
    </row>
    <row r="400">
      <c r="A400" s="113"/>
      <c r="B400" s="113"/>
      <c r="C400" s="113"/>
      <c r="D400" s="113"/>
      <c r="E400" s="113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13"/>
      <c r="Y400" s="113"/>
      <c r="Z400" s="113"/>
    </row>
    <row r="401">
      <c r="A401" s="113"/>
      <c r="B401" s="113"/>
      <c r="C401" s="113"/>
      <c r="D401" s="113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13"/>
      <c r="Y401" s="113"/>
      <c r="Z401" s="113"/>
    </row>
    <row r="402">
      <c r="A402" s="113"/>
      <c r="B402" s="113"/>
      <c r="C402" s="113"/>
      <c r="D402" s="113"/>
      <c r="E402" s="113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  <c r="X402" s="113"/>
      <c r="Y402" s="113"/>
      <c r="Z402" s="113"/>
    </row>
    <row r="403">
      <c r="A403" s="113"/>
      <c r="B403" s="113"/>
      <c r="C403" s="113"/>
      <c r="D403" s="113"/>
      <c r="E403" s="113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  <c r="X403" s="113"/>
      <c r="Y403" s="113"/>
      <c r="Z403" s="113"/>
    </row>
    <row r="404">
      <c r="A404" s="113"/>
      <c r="B404" s="113"/>
      <c r="C404" s="113"/>
      <c r="D404" s="113"/>
      <c r="E404" s="113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13"/>
      <c r="Y404" s="113"/>
      <c r="Z404" s="113"/>
    </row>
    <row r="405">
      <c r="A405" s="113"/>
      <c r="B405" s="113"/>
      <c r="C405" s="113"/>
      <c r="D405" s="113"/>
      <c r="E405" s="113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  <c r="X405" s="113"/>
      <c r="Y405" s="113"/>
      <c r="Z405" s="113"/>
    </row>
    <row r="406">
      <c r="A406" s="113"/>
      <c r="B406" s="113"/>
      <c r="C406" s="113"/>
      <c r="D406" s="113"/>
      <c r="E406" s="113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3"/>
    </row>
    <row r="407">
      <c r="A407" s="113"/>
      <c r="B407" s="113"/>
      <c r="C407" s="113"/>
      <c r="D407" s="113"/>
      <c r="E407" s="113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13"/>
      <c r="Y407" s="113"/>
      <c r="Z407" s="113"/>
    </row>
    <row r="408">
      <c r="A408" s="113"/>
      <c r="B408" s="113"/>
      <c r="C408" s="113"/>
      <c r="D408" s="113"/>
      <c r="E408" s="113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  <c r="X408" s="113"/>
      <c r="Y408" s="113"/>
      <c r="Z408" s="113"/>
    </row>
    <row r="409">
      <c r="A409" s="113"/>
      <c r="B409" s="113"/>
      <c r="C409" s="113"/>
      <c r="D409" s="113"/>
      <c r="E409" s="113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  <c r="Y409" s="113"/>
      <c r="Z409" s="113"/>
    </row>
    <row r="410">
      <c r="A410" s="113"/>
      <c r="B410" s="113"/>
      <c r="C410" s="113"/>
      <c r="D410" s="113"/>
      <c r="E410" s="113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  <c r="X410" s="113"/>
      <c r="Y410" s="113"/>
      <c r="Z410" s="113"/>
    </row>
    <row r="411">
      <c r="A411" s="113"/>
      <c r="B411" s="113"/>
      <c r="C411" s="113"/>
      <c r="D411" s="113"/>
      <c r="E411" s="113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13"/>
      <c r="Y411" s="113"/>
      <c r="Z411" s="113"/>
    </row>
    <row r="412">
      <c r="A412" s="113"/>
      <c r="B412" s="113"/>
      <c r="C412" s="113"/>
      <c r="D412" s="113"/>
      <c r="E412" s="113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  <c r="P412" s="113"/>
      <c r="Q412" s="113"/>
      <c r="R412" s="113"/>
      <c r="S412" s="113"/>
      <c r="T412" s="113"/>
      <c r="U412" s="113"/>
      <c r="V412" s="113"/>
      <c r="W412" s="113"/>
      <c r="X412" s="113"/>
      <c r="Y412" s="113"/>
      <c r="Z412" s="113"/>
    </row>
    <row r="413">
      <c r="A413" s="113"/>
      <c r="B413" s="113"/>
      <c r="C413" s="113"/>
      <c r="D413" s="113"/>
      <c r="E413" s="113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  <c r="Y413" s="113"/>
      <c r="Z413" s="113"/>
    </row>
    <row r="414">
      <c r="A414" s="113"/>
      <c r="B414" s="113"/>
      <c r="C414" s="113"/>
      <c r="D414" s="113"/>
      <c r="E414" s="113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  <c r="X414" s="113"/>
      <c r="Y414" s="113"/>
      <c r="Z414" s="113"/>
    </row>
    <row r="415">
      <c r="A415" s="113"/>
      <c r="B415" s="113"/>
      <c r="C415" s="113"/>
      <c r="D415" s="113"/>
      <c r="E415" s="113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  <c r="X415" s="113"/>
      <c r="Y415" s="113"/>
      <c r="Z415" s="113"/>
    </row>
    <row r="416">
      <c r="A416" s="113"/>
      <c r="B416" s="113"/>
      <c r="C416" s="113"/>
      <c r="D416" s="113"/>
      <c r="E416" s="113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/>
      <c r="W416" s="113"/>
      <c r="X416" s="113"/>
      <c r="Y416" s="113"/>
      <c r="Z416" s="113"/>
    </row>
    <row r="417">
      <c r="A417" s="113"/>
      <c r="B417" s="113"/>
      <c r="C417" s="113"/>
      <c r="D417" s="113"/>
      <c r="E417" s="113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/>
      <c r="W417" s="113"/>
      <c r="X417" s="113"/>
      <c r="Y417" s="113"/>
      <c r="Z417" s="113"/>
    </row>
    <row r="418">
      <c r="A418" s="113"/>
      <c r="B418" s="113"/>
      <c r="C418" s="113"/>
      <c r="D418" s="113"/>
      <c r="E418" s="113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  <c r="R418" s="113"/>
      <c r="S418" s="113"/>
      <c r="T418" s="113"/>
      <c r="U418" s="113"/>
      <c r="V418" s="113"/>
      <c r="W418" s="113"/>
      <c r="X418" s="113"/>
      <c r="Y418" s="113"/>
      <c r="Z418" s="113"/>
    </row>
    <row r="419">
      <c r="A419" s="113"/>
      <c r="B419" s="113"/>
      <c r="C419" s="113"/>
      <c r="D419" s="113"/>
      <c r="E419" s="113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  <c r="R419" s="113"/>
      <c r="S419" s="113"/>
      <c r="T419" s="113"/>
      <c r="U419" s="113"/>
      <c r="V419" s="113"/>
      <c r="W419" s="113"/>
      <c r="X419" s="113"/>
      <c r="Y419" s="113"/>
      <c r="Z419" s="113"/>
    </row>
    <row r="420">
      <c r="A420" s="113"/>
      <c r="B420" s="113"/>
      <c r="C420" s="113"/>
      <c r="D420" s="113"/>
      <c r="E420" s="113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  <c r="P420" s="113"/>
      <c r="Q420" s="113"/>
      <c r="R420" s="113"/>
      <c r="S420" s="113"/>
      <c r="T420" s="113"/>
      <c r="U420" s="113"/>
      <c r="V420" s="113"/>
      <c r="W420" s="113"/>
      <c r="X420" s="113"/>
      <c r="Y420" s="113"/>
      <c r="Z420" s="113"/>
    </row>
    <row r="421">
      <c r="A421" s="113"/>
      <c r="B421" s="113"/>
      <c r="C421" s="113"/>
      <c r="D421" s="113"/>
      <c r="E421" s="113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/>
      <c r="W421" s="113"/>
      <c r="X421" s="113"/>
      <c r="Y421" s="113"/>
      <c r="Z421" s="113"/>
    </row>
    <row r="422">
      <c r="A422" s="113"/>
      <c r="B422" s="113"/>
      <c r="C422" s="113"/>
      <c r="D422" s="113"/>
      <c r="E422" s="113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13"/>
      <c r="Q422" s="113"/>
      <c r="R422" s="113"/>
      <c r="S422" s="113"/>
      <c r="T422" s="113"/>
      <c r="U422" s="113"/>
      <c r="V422" s="113"/>
      <c r="W422" s="113"/>
      <c r="X422" s="113"/>
      <c r="Y422" s="113"/>
      <c r="Z422" s="113"/>
    </row>
    <row r="423">
      <c r="A423" s="113"/>
      <c r="B423" s="113"/>
      <c r="C423" s="113"/>
      <c r="D423" s="113"/>
      <c r="E423" s="113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  <c r="X423" s="113"/>
      <c r="Y423" s="113"/>
      <c r="Z423" s="113"/>
    </row>
    <row r="424">
      <c r="A424" s="113"/>
      <c r="B424" s="113"/>
      <c r="C424" s="113"/>
      <c r="D424" s="113"/>
      <c r="E424" s="113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  <c r="R424" s="113"/>
      <c r="S424" s="113"/>
      <c r="T424" s="113"/>
      <c r="U424" s="113"/>
      <c r="V424" s="113"/>
      <c r="W424" s="113"/>
      <c r="X424" s="113"/>
      <c r="Y424" s="113"/>
      <c r="Z424" s="113"/>
    </row>
    <row r="425">
      <c r="A425" s="113"/>
      <c r="B425" s="113"/>
      <c r="C425" s="113"/>
      <c r="D425" s="113"/>
      <c r="E425" s="113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/>
      <c r="W425" s="113"/>
      <c r="X425" s="113"/>
      <c r="Y425" s="113"/>
      <c r="Z425" s="113"/>
    </row>
    <row r="426">
      <c r="A426" s="113"/>
      <c r="B426" s="113"/>
      <c r="C426" s="113"/>
      <c r="D426" s="113"/>
      <c r="E426" s="113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  <c r="R426" s="113"/>
      <c r="S426" s="113"/>
      <c r="T426" s="113"/>
      <c r="U426" s="113"/>
      <c r="V426" s="113"/>
      <c r="W426" s="113"/>
      <c r="X426" s="113"/>
      <c r="Y426" s="113"/>
      <c r="Z426" s="113"/>
    </row>
    <row r="427">
      <c r="A427" s="113"/>
      <c r="B427" s="113"/>
      <c r="C427" s="113"/>
      <c r="D427" s="113"/>
      <c r="E427" s="113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  <c r="X427" s="113"/>
      <c r="Y427" s="113"/>
      <c r="Z427" s="113"/>
    </row>
    <row r="428">
      <c r="A428" s="113"/>
      <c r="B428" s="113"/>
      <c r="C428" s="113"/>
      <c r="D428" s="113"/>
      <c r="E428" s="113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/>
      <c r="W428" s="113"/>
      <c r="X428" s="113"/>
      <c r="Y428" s="113"/>
      <c r="Z428" s="113"/>
    </row>
    <row r="429">
      <c r="A429" s="113"/>
      <c r="B429" s="113"/>
      <c r="C429" s="113"/>
      <c r="D429" s="113"/>
      <c r="E429" s="113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  <c r="V429" s="113"/>
      <c r="W429" s="113"/>
      <c r="X429" s="113"/>
      <c r="Y429" s="113"/>
      <c r="Z429" s="113"/>
    </row>
    <row r="430">
      <c r="A430" s="113"/>
      <c r="B430" s="113"/>
      <c r="C430" s="113"/>
      <c r="D430" s="113"/>
      <c r="E430" s="113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/>
      <c r="W430" s="113"/>
      <c r="X430" s="113"/>
      <c r="Y430" s="113"/>
      <c r="Z430" s="113"/>
    </row>
    <row r="431">
      <c r="A431" s="113"/>
      <c r="B431" s="113"/>
      <c r="C431" s="113"/>
      <c r="D431" s="113"/>
      <c r="E431" s="113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/>
      <c r="W431" s="113"/>
      <c r="X431" s="113"/>
      <c r="Y431" s="113"/>
      <c r="Z431" s="113"/>
    </row>
    <row r="432">
      <c r="A432" s="113"/>
      <c r="B432" s="113"/>
      <c r="C432" s="113"/>
      <c r="D432" s="113"/>
      <c r="E432" s="113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/>
      <c r="W432" s="113"/>
      <c r="X432" s="113"/>
      <c r="Y432" s="113"/>
      <c r="Z432" s="113"/>
    </row>
    <row r="433">
      <c r="A433" s="113"/>
      <c r="B433" s="113"/>
      <c r="C433" s="113"/>
      <c r="D433" s="113"/>
      <c r="E433" s="113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  <c r="V433" s="113"/>
      <c r="W433" s="113"/>
      <c r="X433" s="113"/>
      <c r="Y433" s="113"/>
      <c r="Z433" s="113"/>
    </row>
    <row r="434">
      <c r="A434" s="113"/>
      <c r="B434" s="113"/>
      <c r="C434" s="113"/>
      <c r="D434" s="113"/>
      <c r="E434" s="113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  <c r="V434" s="113"/>
      <c r="W434" s="113"/>
      <c r="X434" s="113"/>
      <c r="Y434" s="113"/>
      <c r="Z434" s="113"/>
    </row>
    <row r="435">
      <c r="A435" s="113"/>
      <c r="B435" s="113"/>
      <c r="C435" s="113"/>
      <c r="D435" s="113"/>
      <c r="E435" s="113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  <c r="X435" s="113"/>
      <c r="Y435" s="113"/>
      <c r="Z435" s="113"/>
    </row>
    <row r="436">
      <c r="A436" s="113"/>
      <c r="B436" s="113"/>
      <c r="C436" s="113"/>
      <c r="D436" s="113"/>
      <c r="E436" s="113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  <c r="V436" s="113"/>
      <c r="W436" s="113"/>
      <c r="X436" s="113"/>
      <c r="Y436" s="113"/>
      <c r="Z436" s="113"/>
    </row>
    <row r="437">
      <c r="A437" s="113"/>
      <c r="B437" s="113"/>
      <c r="C437" s="113"/>
      <c r="D437" s="113"/>
      <c r="E437" s="113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/>
      <c r="W437" s="113"/>
      <c r="X437" s="113"/>
      <c r="Y437" s="113"/>
      <c r="Z437" s="113"/>
    </row>
    <row r="438">
      <c r="A438" s="113"/>
      <c r="B438" s="113"/>
      <c r="C438" s="113"/>
      <c r="D438" s="113"/>
      <c r="E438" s="113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  <c r="V438" s="113"/>
      <c r="W438" s="113"/>
      <c r="X438" s="113"/>
      <c r="Y438" s="113"/>
      <c r="Z438" s="113"/>
    </row>
    <row r="439">
      <c r="A439" s="113"/>
      <c r="B439" s="113"/>
      <c r="C439" s="113"/>
      <c r="D439" s="113"/>
      <c r="E439" s="113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  <c r="V439" s="113"/>
      <c r="W439" s="113"/>
      <c r="X439" s="113"/>
      <c r="Y439" s="113"/>
      <c r="Z439" s="113"/>
    </row>
    <row r="440">
      <c r="A440" s="113"/>
      <c r="B440" s="113"/>
      <c r="C440" s="113"/>
      <c r="D440" s="113"/>
      <c r="E440" s="113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  <c r="X440" s="113"/>
      <c r="Y440" s="113"/>
      <c r="Z440" s="113"/>
    </row>
    <row r="441">
      <c r="A441" s="113"/>
      <c r="B441" s="113"/>
      <c r="C441" s="113"/>
      <c r="D441" s="113"/>
      <c r="E441" s="113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/>
      <c r="W441" s="113"/>
      <c r="X441" s="113"/>
      <c r="Y441" s="113"/>
      <c r="Z441" s="113"/>
    </row>
    <row r="442">
      <c r="A442" s="113"/>
      <c r="B442" s="113"/>
      <c r="C442" s="113"/>
      <c r="D442" s="113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13"/>
      <c r="Y442" s="113"/>
      <c r="Z442" s="113"/>
    </row>
    <row r="443">
      <c r="A443" s="113"/>
      <c r="B443" s="113"/>
      <c r="C443" s="113"/>
      <c r="D443" s="113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  <c r="X443" s="113"/>
      <c r="Y443" s="113"/>
      <c r="Z443" s="113"/>
    </row>
    <row r="444">
      <c r="A444" s="113"/>
      <c r="B444" s="113"/>
      <c r="C444" s="113"/>
      <c r="D444" s="113"/>
      <c r="E444" s="113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3"/>
    </row>
    <row r="445">
      <c r="A445" s="113"/>
      <c r="B445" s="113"/>
      <c r="C445" s="113"/>
      <c r="D445" s="113"/>
      <c r="E445" s="11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  <c r="X445" s="113"/>
      <c r="Y445" s="113"/>
      <c r="Z445" s="113"/>
    </row>
    <row r="446">
      <c r="A446" s="113"/>
      <c r="B446" s="113"/>
      <c r="C446" s="113"/>
      <c r="D446" s="113"/>
      <c r="E446" s="113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  <c r="X446" s="113"/>
      <c r="Y446" s="113"/>
      <c r="Z446" s="113"/>
    </row>
    <row r="447">
      <c r="A447" s="113"/>
      <c r="B447" s="113"/>
      <c r="C447" s="113"/>
      <c r="D447" s="113"/>
      <c r="E447" s="113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13"/>
      <c r="Q447" s="113"/>
      <c r="R447" s="113"/>
      <c r="S447" s="113"/>
      <c r="T447" s="113"/>
      <c r="U447" s="113"/>
      <c r="V447" s="113"/>
      <c r="W447" s="113"/>
      <c r="X447" s="113"/>
      <c r="Y447" s="113"/>
      <c r="Z447" s="113"/>
    </row>
    <row r="448">
      <c r="A448" s="113"/>
      <c r="B448" s="113"/>
      <c r="C448" s="113"/>
      <c r="D448" s="113"/>
      <c r="E448" s="113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  <c r="X448" s="113"/>
      <c r="Y448" s="113"/>
      <c r="Z448" s="113"/>
    </row>
    <row r="449">
      <c r="A449" s="113"/>
      <c r="B449" s="113"/>
      <c r="C449" s="113"/>
      <c r="D449" s="113"/>
      <c r="E449" s="113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13"/>
      <c r="Q449" s="113"/>
      <c r="R449" s="113"/>
      <c r="S449" s="113"/>
      <c r="T449" s="113"/>
      <c r="U449" s="113"/>
      <c r="V449" s="113"/>
      <c r="W449" s="113"/>
      <c r="X449" s="113"/>
      <c r="Y449" s="113"/>
      <c r="Z449" s="113"/>
    </row>
    <row r="450">
      <c r="A450" s="113"/>
      <c r="B450" s="113"/>
      <c r="C450" s="113"/>
      <c r="D450" s="113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13"/>
      <c r="Y450" s="113"/>
      <c r="Z450" s="113"/>
    </row>
    <row r="451">
      <c r="A451" s="113"/>
      <c r="B451" s="113"/>
      <c r="C451" s="113"/>
      <c r="D451" s="113"/>
      <c r="E451" s="113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  <c r="P451" s="113"/>
      <c r="Q451" s="113"/>
      <c r="R451" s="113"/>
      <c r="S451" s="113"/>
      <c r="T451" s="113"/>
      <c r="U451" s="113"/>
      <c r="V451" s="113"/>
      <c r="W451" s="113"/>
      <c r="X451" s="113"/>
      <c r="Y451" s="113"/>
      <c r="Z451" s="113"/>
    </row>
    <row r="452">
      <c r="A452" s="113"/>
      <c r="B452" s="113"/>
      <c r="C452" s="113"/>
      <c r="D452" s="113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13"/>
      <c r="Y452" s="113"/>
      <c r="Z452" s="113"/>
    </row>
    <row r="453">
      <c r="A453" s="113"/>
      <c r="B453" s="113"/>
      <c r="C453" s="113"/>
      <c r="D453" s="113"/>
      <c r="E453" s="113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/>
      <c r="W453" s="113"/>
      <c r="X453" s="113"/>
      <c r="Y453" s="113"/>
      <c r="Z453" s="113"/>
    </row>
    <row r="454">
      <c r="A454" s="113"/>
      <c r="B454" s="113"/>
      <c r="C454" s="113"/>
      <c r="D454" s="113"/>
      <c r="E454" s="113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W454" s="113"/>
      <c r="X454" s="113"/>
      <c r="Y454" s="113"/>
      <c r="Z454" s="113"/>
    </row>
    <row r="455">
      <c r="A455" s="113"/>
      <c r="B455" s="113"/>
      <c r="C455" s="113"/>
      <c r="D455" s="113"/>
      <c r="E455" s="113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  <c r="X455" s="113"/>
      <c r="Y455" s="113"/>
      <c r="Z455" s="113"/>
    </row>
    <row r="456">
      <c r="A456" s="113"/>
      <c r="B456" s="113"/>
      <c r="C456" s="113"/>
      <c r="D456" s="113"/>
      <c r="E456" s="113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  <c r="R456" s="113"/>
      <c r="S456" s="113"/>
      <c r="T456" s="113"/>
      <c r="U456" s="113"/>
      <c r="V456" s="113"/>
      <c r="W456" s="113"/>
      <c r="X456" s="113"/>
      <c r="Y456" s="113"/>
      <c r="Z456" s="113"/>
    </row>
    <row r="457">
      <c r="A457" s="113"/>
      <c r="B457" s="113"/>
      <c r="C457" s="113"/>
      <c r="D457" s="113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  <c r="X457" s="113"/>
      <c r="Y457" s="113"/>
      <c r="Z457" s="113"/>
    </row>
    <row r="458">
      <c r="A458" s="113"/>
      <c r="B458" s="113"/>
      <c r="C458" s="113"/>
      <c r="D458" s="113"/>
      <c r="E458" s="113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  <c r="X458" s="113"/>
      <c r="Y458" s="113"/>
      <c r="Z458" s="113"/>
    </row>
    <row r="459">
      <c r="A459" s="113"/>
      <c r="B459" s="113"/>
      <c r="C459" s="113"/>
      <c r="D459" s="113"/>
      <c r="E459" s="113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  <c r="X459" s="113"/>
      <c r="Y459" s="113"/>
      <c r="Z459" s="113"/>
    </row>
    <row r="460">
      <c r="A460" s="113"/>
      <c r="B460" s="113"/>
      <c r="C460" s="113"/>
      <c r="D460" s="113"/>
      <c r="E460" s="113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/>
      <c r="W460" s="113"/>
      <c r="X460" s="113"/>
      <c r="Y460" s="113"/>
      <c r="Z460" s="113"/>
    </row>
    <row r="461">
      <c r="A461" s="113"/>
      <c r="B461" s="113"/>
      <c r="C461" s="113"/>
      <c r="D461" s="113"/>
      <c r="E461" s="113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  <c r="X461" s="113"/>
      <c r="Y461" s="113"/>
      <c r="Z461" s="113"/>
    </row>
    <row r="462">
      <c r="A462" s="113"/>
      <c r="B462" s="113"/>
      <c r="C462" s="113"/>
      <c r="D462" s="113"/>
      <c r="E462" s="113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/>
      <c r="W462" s="113"/>
      <c r="X462" s="113"/>
      <c r="Y462" s="113"/>
      <c r="Z462" s="113"/>
    </row>
    <row r="463">
      <c r="A463" s="113"/>
      <c r="B463" s="113"/>
      <c r="C463" s="113"/>
      <c r="D463" s="113"/>
      <c r="E463" s="113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  <c r="X463" s="113"/>
      <c r="Y463" s="113"/>
      <c r="Z463" s="113"/>
    </row>
    <row r="464">
      <c r="A464" s="113"/>
      <c r="B464" s="113"/>
      <c r="C464" s="113"/>
      <c r="D464" s="113"/>
      <c r="E464" s="113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  <c r="X464" s="113"/>
      <c r="Y464" s="113"/>
      <c r="Z464" s="113"/>
    </row>
    <row r="465">
      <c r="A465" s="113"/>
      <c r="B465" s="113"/>
      <c r="C465" s="113"/>
      <c r="D465" s="113"/>
      <c r="E465" s="113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/>
      <c r="W465" s="113"/>
      <c r="X465" s="113"/>
      <c r="Y465" s="113"/>
      <c r="Z465" s="113"/>
    </row>
    <row r="466">
      <c r="A466" s="113"/>
      <c r="B466" s="113"/>
      <c r="C466" s="113"/>
      <c r="D466" s="113"/>
      <c r="E466" s="11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  <c r="X466" s="113"/>
      <c r="Y466" s="113"/>
      <c r="Z466" s="113"/>
    </row>
    <row r="467">
      <c r="A467" s="113"/>
      <c r="B467" s="113"/>
      <c r="C467" s="113"/>
      <c r="D467" s="113"/>
      <c r="E467" s="113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  <c r="X467" s="113"/>
      <c r="Y467" s="113"/>
      <c r="Z467" s="113"/>
    </row>
    <row r="468">
      <c r="A468" s="113"/>
      <c r="B468" s="113"/>
      <c r="C468" s="113"/>
      <c r="D468" s="113"/>
      <c r="E468" s="113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  <c r="X468" s="113"/>
      <c r="Y468" s="113"/>
      <c r="Z468" s="113"/>
    </row>
    <row r="469">
      <c r="A469" s="113"/>
      <c r="B469" s="113"/>
      <c r="C469" s="113"/>
      <c r="D469" s="113"/>
      <c r="E469" s="113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/>
      <c r="W469" s="113"/>
      <c r="X469" s="113"/>
      <c r="Y469" s="113"/>
      <c r="Z469" s="113"/>
    </row>
    <row r="470">
      <c r="A470" s="113"/>
      <c r="B470" s="113"/>
      <c r="C470" s="113"/>
      <c r="D470" s="113"/>
      <c r="E470" s="113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/>
      <c r="W470" s="113"/>
      <c r="X470" s="113"/>
      <c r="Y470" s="113"/>
      <c r="Z470" s="113"/>
    </row>
    <row r="471">
      <c r="A471" s="113"/>
      <c r="B471" s="113"/>
      <c r="C471" s="113"/>
      <c r="D471" s="113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/>
      <c r="W471" s="113"/>
      <c r="X471" s="113"/>
      <c r="Y471" s="113"/>
      <c r="Z471" s="113"/>
    </row>
    <row r="472">
      <c r="A472" s="113"/>
      <c r="B472" s="113"/>
      <c r="C472" s="113"/>
      <c r="D472" s="113"/>
      <c r="E472" s="113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  <c r="V472" s="113"/>
      <c r="W472" s="113"/>
      <c r="X472" s="113"/>
      <c r="Y472" s="113"/>
      <c r="Z472" s="113"/>
    </row>
    <row r="473">
      <c r="A473" s="113"/>
      <c r="B473" s="113"/>
      <c r="C473" s="113"/>
      <c r="D473" s="113"/>
      <c r="E473" s="113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  <c r="V473" s="113"/>
      <c r="W473" s="113"/>
      <c r="X473" s="113"/>
      <c r="Y473" s="113"/>
      <c r="Z473" s="113"/>
    </row>
    <row r="474">
      <c r="A474" s="113"/>
      <c r="B474" s="113"/>
      <c r="C474" s="113"/>
      <c r="D474" s="113"/>
      <c r="E474" s="113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  <c r="V474" s="113"/>
      <c r="W474" s="113"/>
      <c r="X474" s="113"/>
      <c r="Y474" s="113"/>
      <c r="Z474" s="113"/>
    </row>
    <row r="475">
      <c r="A475" s="113"/>
      <c r="B475" s="113"/>
      <c r="C475" s="113"/>
      <c r="D475" s="113"/>
      <c r="E475" s="113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/>
      <c r="W475" s="113"/>
      <c r="X475" s="113"/>
      <c r="Y475" s="113"/>
      <c r="Z475" s="113"/>
    </row>
    <row r="476">
      <c r="A476" s="113"/>
      <c r="B476" s="113"/>
      <c r="C476" s="113"/>
      <c r="D476" s="113"/>
      <c r="E476" s="113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  <c r="V476" s="113"/>
      <c r="W476" s="113"/>
      <c r="X476" s="113"/>
      <c r="Y476" s="113"/>
      <c r="Z476" s="113"/>
    </row>
    <row r="477">
      <c r="A477" s="113"/>
      <c r="B477" s="113"/>
      <c r="C477" s="113"/>
      <c r="D477" s="113"/>
      <c r="E477" s="113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/>
      <c r="W477" s="113"/>
      <c r="X477" s="113"/>
      <c r="Y477" s="113"/>
      <c r="Z477" s="113"/>
    </row>
    <row r="478">
      <c r="A478" s="113"/>
      <c r="B478" s="113"/>
      <c r="C478" s="113"/>
      <c r="D478" s="113"/>
      <c r="E478" s="113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  <c r="P478" s="113"/>
      <c r="Q478" s="113"/>
      <c r="R478" s="113"/>
      <c r="S478" s="113"/>
      <c r="T478" s="113"/>
      <c r="U478" s="113"/>
      <c r="V478" s="113"/>
      <c r="W478" s="113"/>
      <c r="X478" s="113"/>
      <c r="Y478" s="113"/>
      <c r="Z478" s="113"/>
    </row>
    <row r="479">
      <c r="A479" s="113"/>
      <c r="B479" s="113"/>
      <c r="C479" s="113"/>
      <c r="D479" s="113"/>
      <c r="E479" s="113"/>
      <c r="F479" s="113"/>
      <c r="G479" s="113"/>
      <c r="H479" s="113"/>
      <c r="I479" s="113"/>
      <c r="J479" s="113"/>
      <c r="K479" s="113"/>
      <c r="L479" s="113"/>
      <c r="M479" s="113"/>
      <c r="N479" s="113"/>
      <c r="O479" s="113"/>
      <c r="P479" s="113"/>
      <c r="Q479" s="113"/>
      <c r="R479" s="113"/>
      <c r="S479" s="113"/>
      <c r="T479" s="113"/>
      <c r="U479" s="113"/>
      <c r="V479" s="113"/>
      <c r="W479" s="113"/>
      <c r="X479" s="113"/>
      <c r="Y479" s="113"/>
      <c r="Z479" s="113"/>
    </row>
    <row r="480">
      <c r="A480" s="113"/>
      <c r="B480" s="113"/>
      <c r="C480" s="113"/>
      <c r="D480" s="113"/>
      <c r="E480" s="113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  <c r="R480" s="113"/>
      <c r="S480" s="113"/>
      <c r="T480" s="113"/>
      <c r="U480" s="113"/>
      <c r="V480" s="113"/>
      <c r="W480" s="113"/>
      <c r="X480" s="113"/>
      <c r="Y480" s="113"/>
      <c r="Z480" s="113"/>
    </row>
    <row r="481">
      <c r="A481" s="113"/>
      <c r="B481" s="113"/>
      <c r="C481" s="113"/>
      <c r="D481" s="113"/>
      <c r="E481" s="113"/>
      <c r="F481" s="113"/>
      <c r="G481" s="113"/>
      <c r="H481" s="113"/>
      <c r="I481" s="113"/>
      <c r="J481" s="113"/>
      <c r="K481" s="113"/>
      <c r="L481" s="113"/>
      <c r="M481" s="113"/>
      <c r="N481" s="113"/>
      <c r="O481" s="113"/>
      <c r="P481" s="113"/>
      <c r="Q481" s="113"/>
      <c r="R481" s="113"/>
      <c r="S481" s="113"/>
      <c r="T481" s="113"/>
      <c r="U481" s="113"/>
      <c r="V481" s="113"/>
      <c r="W481" s="113"/>
      <c r="X481" s="113"/>
      <c r="Y481" s="113"/>
      <c r="Z481" s="113"/>
    </row>
    <row r="482">
      <c r="A482" s="113"/>
      <c r="B482" s="113"/>
      <c r="C482" s="113"/>
      <c r="D482" s="113"/>
      <c r="E482" s="113"/>
      <c r="F482" s="113"/>
      <c r="G482" s="113"/>
      <c r="H482" s="113"/>
      <c r="I482" s="113"/>
      <c r="J482" s="113"/>
      <c r="K482" s="113"/>
      <c r="L482" s="113"/>
      <c r="M482" s="113"/>
      <c r="N482" s="113"/>
      <c r="O482" s="113"/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3"/>
    </row>
    <row r="483">
      <c r="A483" s="113"/>
      <c r="B483" s="113"/>
      <c r="C483" s="113"/>
      <c r="D483" s="113"/>
      <c r="E483" s="113"/>
      <c r="F483" s="113"/>
      <c r="G483" s="113"/>
      <c r="H483" s="113"/>
      <c r="I483" s="113"/>
      <c r="J483" s="113"/>
      <c r="K483" s="113"/>
      <c r="L483" s="113"/>
      <c r="M483" s="113"/>
      <c r="N483" s="113"/>
      <c r="O483" s="113"/>
      <c r="P483" s="113"/>
      <c r="Q483" s="113"/>
      <c r="R483" s="113"/>
      <c r="S483" s="113"/>
      <c r="T483" s="113"/>
      <c r="U483" s="113"/>
      <c r="V483" s="113"/>
      <c r="W483" s="113"/>
      <c r="X483" s="113"/>
      <c r="Y483" s="113"/>
      <c r="Z483" s="113"/>
    </row>
    <row r="484">
      <c r="A484" s="113"/>
      <c r="B484" s="113"/>
      <c r="C484" s="113"/>
      <c r="D484" s="113"/>
      <c r="E484" s="113"/>
      <c r="F484" s="113"/>
      <c r="G484" s="113"/>
      <c r="H484" s="113"/>
      <c r="I484" s="113"/>
      <c r="J484" s="113"/>
      <c r="K484" s="113"/>
      <c r="L484" s="113"/>
      <c r="M484" s="113"/>
      <c r="N484" s="113"/>
      <c r="O484" s="113"/>
      <c r="P484" s="113"/>
      <c r="Q484" s="113"/>
      <c r="R484" s="113"/>
      <c r="S484" s="113"/>
      <c r="T484" s="113"/>
      <c r="U484" s="113"/>
      <c r="V484" s="113"/>
      <c r="W484" s="113"/>
      <c r="X484" s="113"/>
      <c r="Y484" s="113"/>
      <c r="Z484" s="113"/>
    </row>
    <row r="485">
      <c r="A485" s="113"/>
      <c r="B485" s="113"/>
      <c r="C485" s="113"/>
      <c r="D485" s="113"/>
      <c r="E485" s="113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  <c r="P485" s="113"/>
      <c r="Q485" s="113"/>
      <c r="R485" s="113"/>
      <c r="S485" s="113"/>
      <c r="T485" s="113"/>
      <c r="U485" s="113"/>
      <c r="V485" s="113"/>
      <c r="W485" s="113"/>
      <c r="X485" s="113"/>
      <c r="Y485" s="113"/>
      <c r="Z485" s="113"/>
    </row>
    <row r="486">
      <c r="A486" s="113"/>
      <c r="B486" s="113"/>
      <c r="C486" s="113"/>
      <c r="D486" s="113"/>
      <c r="E486" s="113"/>
      <c r="F486" s="113"/>
      <c r="G486" s="113"/>
      <c r="H486" s="113"/>
      <c r="I486" s="113"/>
      <c r="J486" s="113"/>
      <c r="K486" s="113"/>
      <c r="L486" s="113"/>
      <c r="M486" s="113"/>
      <c r="N486" s="113"/>
      <c r="O486" s="113"/>
      <c r="P486" s="113"/>
      <c r="Q486" s="113"/>
      <c r="R486" s="113"/>
      <c r="S486" s="113"/>
      <c r="T486" s="113"/>
      <c r="U486" s="113"/>
      <c r="V486" s="113"/>
      <c r="W486" s="113"/>
      <c r="X486" s="113"/>
      <c r="Y486" s="113"/>
      <c r="Z486" s="113"/>
    </row>
    <row r="487">
      <c r="A487" s="113"/>
      <c r="B487" s="113"/>
      <c r="C487" s="113"/>
      <c r="D487" s="113"/>
      <c r="E487" s="113"/>
      <c r="F487" s="113"/>
      <c r="G487" s="113"/>
      <c r="H487" s="113"/>
      <c r="I487" s="113"/>
      <c r="J487" s="113"/>
      <c r="K487" s="113"/>
      <c r="L487" s="113"/>
      <c r="M487" s="113"/>
      <c r="N487" s="113"/>
      <c r="O487" s="113"/>
      <c r="P487" s="113"/>
      <c r="Q487" s="113"/>
      <c r="R487" s="113"/>
      <c r="S487" s="113"/>
      <c r="T487" s="113"/>
      <c r="U487" s="113"/>
      <c r="V487" s="113"/>
      <c r="W487" s="113"/>
      <c r="X487" s="113"/>
      <c r="Y487" s="113"/>
      <c r="Z487" s="113"/>
    </row>
    <row r="488">
      <c r="A488" s="113"/>
      <c r="B488" s="113"/>
      <c r="C488" s="113"/>
      <c r="D488" s="113"/>
      <c r="E488" s="113"/>
      <c r="F488" s="113"/>
      <c r="G488" s="113"/>
      <c r="H488" s="113"/>
      <c r="I488" s="113"/>
      <c r="J488" s="113"/>
      <c r="K488" s="113"/>
      <c r="L488" s="113"/>
      <c r="M488" s="113"/>
      <c r="N488" s="113"/>
      <c r="O488" s="113"/>
      <c r="P488" s="113"/>
      <c r="Q488" s="113"/>
      <c r="R488" s="113"/>
      <c r="S488" s="113"/>
      <c r="T488" s="113"/>
      <c r="U488" s="113"/>
      <c r="V488" s="113"/>
      <c r="W488" s="113"/>
      <c r="X488" s="113"/>
      <c r="Y488" s="113"/>
      <c r="Z488" s="113"/>
    </row>
    <row r="489">
      <c r="A489" s="113"/>
      <c r="B489" s="113"/>
      <c r="C489" s="113"/>
      <c r="D489" s="113"/>
      <c r="E489" s="113"/>
      <c r="F489" s="113"/>
      <c r="G489" s="113"/>
      <c r="H489" s="113"/>
      <c r="I489" s="113"/>
      <c r="J489" s="113"/>
      <c r="K489" s="113"/>
      <c r="L489" s="113"/>
      <c r="M489" s="113"/>
      <c r="N489" s="113"/>
      <c r="O489" s="113"/>
      <c r="P489" s="113"/>
      <c r="Q489" s="113"/>
      <c r="R489" s="113"/>
      <c r="S489" s="113"/>
      <c r="T489" s="113"/>
      <c r="U489" s="113"/>
      <c r="V489" s="113"/>
      <c r="W489" s="113"/>
      <c r="X489" s="113"/>
      <c r="Y489" s="113"/>
      <c r="Z489" s="113"/>
    </row>
    <row r="490">
      <c r="A490" s="113"/>
      <c r="B490" s="113"/>
      <c r="C490" s="113"/>
      <c r="D490" s="113"/>
      <c r="E490" s="113"/>
      <c r="F490" s="113"/>
      <c r="G490" s="113"/>
      <c r="H490" s="113"/>
      <c r="I490" s="113"/>
      <c r="J490" s="113"/>
      <c r="K490" s="113"/>
      <c r="L490" s="113"/>
      <c r="M490" s="113"/>
      <c r="N490" s="113"/>
      <c r="O490" s="113"/>
      <c r="P490" s="113"/>
      <c r="Q490" s="113"/>
      <c r="R490" s="113"/>
      <c r="S490" s="113"/>
      <c r="T490" s="113"/>
      <c r="U490" s="113"/>
      <c r="V490" s="113"/>
      <c r="W490" s="113"/>
      <c r="X490" s="113"/>
      <c r="Y490" s="113"/>
      <c r="Z490" s="113"/>
    </row>
    <row r="491">
      <c r="A491" s="113"/>
      <c r="B491" s="113"/>
      <c r="C491" s="113"/>
      <c r="D491" s="113"/>
      <c r="E491" s="113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/>
      <c r="W491" s="113"/>
      <c r="X491" s="113"/>
      <c r="Y491" s="113"/>
      <c r="Z491" s="113"/>
    </row>
    <row r="492">
      <c r="A492" s="113"/>
      <c r="B492" s="113"/>
      <c r="C492" s="113"/>
      <c r="D492" s="113"/>
      <c r="E492" s="113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/>
      <c r="W492" s="113"/>
      <c r="X492" s="113"/>
      <c r="Y492" s="113"/>
      <c r="Z492" s="113"/>
    </row>
    <row r="493">
      <c r="A493" s="113"/>
      <c r="B493" s="113"/>
      <c r="C493" s="113"/>
      <c r="D493" s="113"/>
      <c r="E493" s="113"/>
      <c r="F493" s="113"/>
      <c r="G493" s="113"/>
      <c r="H493" s="113"/>
      <c r="I493" s="113"/>
      <c r="J493" s="113"/>
      <c r="K493" s="113"/>
      <c r="L493" s="113"/>
      <c r="M493" s="113"/>
      <c r="N493" s="113"/>
      <c r="O493" s="113"/>
      <c r="P493" s="113"/>
      <c r="Q493" s="113"/>
      <c r="R493" s="113"/>
      <c r="S493" s="113"/>
      <c r="T493" s="113"/>
      <c r="U493" s="113"/>
      <c r="V493" s="113"/>
      <c r="W493" s="113"/>
      <c r="X493" s="113"/>
      <c r="Y493" s="113"/>
      <c r="Z493" s="113"/>
    </row>
    <row r="494">
      <c r="A494" s="113"/>
      <c r="B494" s="113"/>
      <c r="C494" s="113"/>
      <c r="D494" s="113"/>
      <c r="E494" s="113"/>
      <c r="F494" s="113"/>
      <c r="G494" s="113"/>
      <c r="H494" s="113"/>
      <c r="I494" s="113"/>
      <c r="J494" s="113"/>
      <c r="K494" s="113"/>
      <c r="L494" s="113"/>
      <c r="M494" s="113"/>
      <c r="N494" s="113"/>
      <c r="O494" s="113"/>
      <c r="P494" s="113"/>
      <c r="Q494" s="113"/>
      <c r="R494" s="113"/>
      <c r="S494" s="113"/>
      <c r="T494" s="113"/>
      <c r="U494" s="113"/>
      <c r="V494" s="113"/>
      <c r="W494" s="113"/>
      <c r="X494" s="113"/>
      <c r="Y494" s="113"/>
      <c r="Z494" s="113"/>
    </row>
    <row r="495">
      <c r="A495" s="113"/>
      <c r="B495" s="113"/>
      <c r="C495" s="113"/>
      <c r="D495" s="113"/>
      <c r="E495" s="113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/>
      <c r="W495" s="113"/>
      <c r="X495" s="113"/>
      <c r="Y495" s="113"/>
      <c r="Z495" s="113"/>
    </row>
    <row r="496">
      <c r="A496" s="113"/>
      <c r="B496" s="113"/>
      <c r="C496" s="113"/>
      <c r="D496" s="113"/>
      <c r="E496" s="113"/>
      <c r="F496" s="113"/>
      <c r="G496" s="113"/>
      <c r="H496" s="113"/>
      <c r="I496" s="113"/>
      <c r="J496" s="113"/>
      <c r="K496" s="113"/>
      <c r="L496" s="113"/>
      <c r="M496" s="113"/>
      <c r="N496" s="113"/>
      <c r="O496" s="113"/>
      <c r="P496" s="113"/>
      <c r="Q496" s="113"/>
      <c r="R496" s="113"/>
      <c r="S496" s="113"/>
      <c r="T496" s="113"/>
      <c r="U496" s="113"/>
      <c r="V496" s="113"/>
      <c r="W496" s="113"/>
      <c r="X496" s="113"/>
      <c r="Y496" s="113"/>
      <c r="Z496" s="113"/>
    </row>
    <row r="497">
      <c r="A497" s="113"/>
      <c r="B497" s="113"/>
      <c r="C497" s="113"/>
      <c r="D497" s="113"/>
      <c r="E497" s="113"/>
      <c r="F497" s="113"/>
      <c r="G497" s="113"/>
      <c r="H497" s="113"/>
      <c r="I497" s="113"/>
      <c r="J497" s="113"/>
      <c r="K497" s="113"/>
      <c r="L497" s="113"/>
      <c r="M497" s="113"/>
      <c r="N497" s="113"/>
      <c r="O497" s="113"/>
      <c r="P497" s="113"/>
      <c r="Q497" s="113"/>
      <c r="R497" s="113"/>
      <c r="S497" s="113"/>
      <c r="T497" s="113"/>
      <c r="U497" s="113"/>
      <c r="V497" s="113"/>
      <c r="W497" s="113"/>
      <c r="X497" s="113"/>
      <c r="Y497" s="113"/>
      <c r="Z497" s="113"/>
    </row>
    <row r="498">
      <c r="A498" s="113"/>
      <c r="B498" s="113"/>
      <c r="C498" s="113"/>
      <c r="D498" s="113"/>
      <c r="E498" s="113"/>
      <c r="F498" s="113"/>
      <c r="G498" s="113"/>
      <c r="H498" s="113"/>
      <c r="I498" s="113"/>
      <c r="J498" s="113"/>
      <c r="K498" s="113"/>
      <c r="L498" s="113"/>
      <c r="M498" s="113"/>
      <c r="N498" s="113"/>
      <c r="O498" s="113"/>
      <c r="P498" s="113"/>
      <c r="Q498" s="113"/>
      <c r="R498" s="113"/>
      <c r="S498" s="113"/>
      <c r="T498" s="113"/>
      <c r="U498" s="113"/>
      <c r="V498" s="113"/>
      <c r="W498" s="113"/>
      <c r="X498" s="113"/>
      <c r="Y498" s="113"/>
      <c r="Z498" s="113"/>
    </row>
    <row r="499">
      <c r="A499" s="113"/>
      <c r="B499" s="113"/>
      <c r="C499" s="113"/>
      <c r="D499" s="113"/>
      <c r="E499" s="113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  <c r="P499" s="113"/>
      <c r="Q499" s="113"/>
      <c r="R499" s="113"/>
      <c r="S499" s="113"/>
      <c r="T499" s="113"/>
      <c r="U499" s="113"/>
      <c r="V499" s="113"/>
      <c r="W499" s="113"/>
      <c r="X499" s="113"/>
      <c r="Y499" s="113"/>
      <c r="Z499" s="113"/>
    </row>
    <row r="500">
      <c r="A500" s="113"/>
      <c r="B500" s="113"/>
      <c r="C500" s="113"/>
      <c r="D500" s="113"/>
      <c r="E500" s="113"/>
      <c r="F500" s="113"/>
      <c r="G500" s="113"/>
      <c r="H500" s="113"/>
      <c r="I500" s="113"/>
      <c r="J500" s="113"/>
      <c r="K500" s="113"/>
      <c r="L500" s="113"/>
      <c r="M500" s="113"/>
      <c r="N500" s="113"/>
      <c r="O500" s="113"/>
      <c r="P500" s="113"/>
      <c r="Q500" s="113"/>
      <c r="R500" s="113"/>
      <c r="S500" s="113"/>
      <c r="T500" s="113"/>
      <c r="U500" s="113"/>
      <c r="V500" s="113"/>
      <c r="W500" s="113"/>
      <c r="X500" s="113"/>
      <c r="Y500" s="113"/>
      <c r="Z500" s="113"/>
    </row>
    <row r="501">
      <c r="A501" s="113"/>
      <c r="B501" s="113"/>
      <c r="C501" s="113"/>
      <c r="D501" s="113"/>
      <c r="E501" s="113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  <c r="P501" s="113"/>
      <c r="Q501" s="113"/>
      <c r="R501" s="113"/>
      <c r="S501" s="113"/>
      <c r="T501" s="113"/>
      <c r="U501" s="113"/>
      <c r="V501" s="113"/>
      <c r="W501" s="113"/>
      <c r="X501" s="113"/>
      <c r="Y501" s="113"/>
      <c r="Z501" s="113"/>
    </row>
    <row r="502">
      <c r="A502" s="113"/>
      <c r="B502" s="113"/>
      <c r="C502" s="113"/>
      <c r="D502" s="113"/>
      <c r="E502" s="113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  <c r="P502" s="113"/>
      <c r="Q502" s="113"/>
      <c r="R502" s="113"/>
      <c r="S502" s="113"/>
      <c r="T502" s="113"/>
      <c r="U502" s="113"/>
      <c r="V502" s="113"/>
      <c r="W502" s="113"/>
      <c r="X502" s="113"/>
      <c r="Y502" s="113"/>
      <c r="Z502" s="113"/>
    </row>
    <row r="503">
      <c r="A503" s="113"/>
      <c r="B503" s="113"/>
      <c r="C503" s="113"/>
      <c r="D503" s="113"/>
      <c r="E503" s="113"/>
      <c r="F503" s="113"/>
      <c r="G503" s="113"/>
      <c r="H503" s="113"/>
      <c r="I503" s="113"/>
      <c r="J503" s="113"/>
      <c r="K503" s="113"/>
      <c r="L503" s="113"/>
      <c r="M503" s="113"/>
      <c r="N503" s="113"/>
      <c r="O503" s="113"/>
      <c r="P503" s="113"/>
      <c r="Q503" s="113"/>
      <c r="R503" s="113"/>
      <c r="S503" s="113"/>
      <c r="T503" s="113"/>
      <c r="U503" s="113"/>
      <c r="V503" s="113"/>
      <c r="W503" s="113"/>
      <c r="X503" s="113"/>
      <c r="Y503" s="113"/>
      <c r="Z503" s="113"/>
    </row>
    <row r="504">
      <c r="A504" s="113"/>
      <c r="B504" s="113"/>
      <c r="C504" s="113"/>
      <c r="D504" s="113"/>
      <c r="E504" s="113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  <c r="P504" s="113"/>
      <c r="Q504" s="113"/>
      <c r="R504" s="113"/>
      <c r="S504" s="113"/>
      <c r="T504" s="113"/>
      <c r="U504" s="113"/>
      <c r="V504" s="113"/>
      <c r="W504" s="113"/>
      <c r="X504" s="113"/>
      <c r="Y504" s="113"/>
      <c r="Z504" s="113"/>
    </row>
    <row r="505">
      <c r="A505" s="113"/>
      <c r="B505" s="113"/>
      <c r="C505" s="113"/>
      <c r="D505" s="113"/>
      <c r="E505" s="113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  <c r="V505" s="113"/>
      <c r="W505" s="113"/>
      <c r="X505" s="113"/>
      <c r="Y505" s="113"/>
      <c r="Z505" s="113"/>
    </row>
    <row r="506">
      <c r="A506" s="113"/>
      <c r="B506" s="113"/>
      <c r="C506" s="113"/>
      <c r="D506" s="113"/>
      <c r="E506" s="113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  <c r="R506" s="113"/>
      <c r="S506" s="113"/>
      <c r="T506" s="113"/>
      <c r="U506" s="113"/>
      <c r="V506" s="113"/>
      <c r="W506" s="113"/>
      <c r="X506" s="113"/>
      <c r="Y506" s="113"/>
      <c r="Z506" s="113"/>
    </row>
    <row r="507">
      <c r="A507" s="113"/>
      <c r="B507" s="113"/>
      <c r="C507" s="113"/>
      <c r="D507" s="113"/>
      <c r="E507" s="113"/>
      <c r="F507" s="113"/>
      <c r="G507" s="113"/>
      <c r="H507" s="113"/>
      <c r="I507" s="113"/>
      <c r="J507" s="113"/>
      <c r="K507" s="113"/>
      <c r="L507" s="113"/>
      <c r="M507" s="113"/>
      <c r="N507" s="113"/>
      <c r="O507" s="113"/>
      <c r="P507" s="113"/>
      <c r="Q507" s="113"/>
      <c r="R507" s="113"/>
      <c r="S507" s="113"/>
      <c r="T507" s="113"/>
      <c r="U507" s="113"/>
      <c r="V507" s="113"/>
      <c r="W507" s="113"/>
      <c r="X507" s="113"/>
      <c r="Y507" s="113"/>
      <c r="Z507" s="113"/>
    </row>
    <row r="508">
      <c r="A508" s="113"/>
      <c r="B508" s="113"/>
      <c r="C508" s="113"/>
      <c r="D508" s="113"/>
      <c r="E508" s="113"/>
      <c r="F508" s="113"/>
      <c r="G508" s="113"/>
      <c r="H508" s="113"/>
      <c r="I508" s="113"/>
      <c r="J508" s="113"/>
      <c r="K508" s="113"/>
      <c r="L508" s="113"/>
      <c r="M508" s="113"/>
      <c r="N508" s="113"/>
      <c r="O508" s="113"/>
      <c r="P508" s="113"/>
      <c r="Q508" s="113"/>
      <c r="R508" s="113"/>
      <c r="S508" s="113"/>
      <c r="T508" s="113"/>
      <c r="U508" s="113"/>
      <c r="V508" s="113"/>
      <c r="W508" s="113"/>
      <c r="X508" s="113"/>
      <c r="Y508" s="113"/>
      <c r="Z508" s="113"/>
    </row>
    <row r="509">
      <c r="A509" s="113"/>
      <c r="B509" s="113"/>
      <c r="C509" s="113"/>
      <c r="D509" s="113"/>
      <c r="E509" s="113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  <c r="R509" s="113"/>
      <c r="S509" s="113"/>
      <c r="T509" s="113"/>
      <c r="U509" s="113"/>
      <c r="V509" s="113"/>
      <c r="W509" s="113"/>
      <c r="X509" s="113"/>
      <c r="Y509" s="113"/>
      <c r="Z509" s="113"/>
    </row>
    <row r="510">
      <c r="A510" s="113"/>
      <c r="B510" s="113"/>
      <c r="C510" s="113"/>
      <c r="D510" s="113"/>
      <c r="E510" s="113"/>
      <c r="F510" s="113"/>
      <c r="G510" s="113"/>
      <c r="H510" s="113"/>
      <c r="I510" s="113"/>
      <c r="J510" s="113"/>
      <c r="K510" s="113"/>
      <c r="L510" s="113"/>
      <c r="M510" s="113"/>
      <c r="N510" s="113"/>
      <c r="O510" s="113"/>
      <c r="P510" s="113"/>
      <c r="Q510" s="113"/>
      <c r="R510" s="113"/>
      <c r="S510" s="113"/>
      <c r="T510" s="113"/>
      <c r="U510" s="113"/>
      <c r="V510" s="113"/>
      <c r="W510" s="113"/>
      <c r="X510" s="113"/>
      <c r="Y510" s="113"/>
      <c r="Z510" s="113"/>
    </row>
    <row r="511">
      <c r="A511" s="113"/>
      <c r="B511" s="113"/>
      <c r="C511" s="113"/>
      <c r="D511" s="113"/>
      <c r="E511" s="113"/>
      <c r="F511" s="113"/>
      <c r="G511" s="113"/>
      <c r="H511" s="113"/>
      <c r="I511" s="113"/>
      <c r="J511" s="113"/>
      <c r="K511" s="113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  <c r="V511" s="113"/>
      <c r="W511" s="113"/>
      <c r="X511" s="113"/>
      <c r="Y511" s="113"/>
      <c r="Z511" s="113"/>
    </row>
    <row r="512">
      <c r="A512" s="113"/>
      <c r="B512" s="113"/>
      <c r="C512" s="113"/>
      <c r="D512" s="113"/>
      <c r="E512" s="113"/>
      <c r="F512" s="113"/>
      <c r="G512" s="113"/>
      <c r="H512" s="113"/>
      <c r="I512" s="113"/>
      <c r="J512" s="113"/>
      <c r="K512" s="113"/>
      <c r="L512" s="113"/>
      <c r="M512" s="113"/>
      <c r="N512" s="113"/>
      <c r="O512" s="113"/>
      <c r="P512" s="113"/>
      <c r="Q512" s="113"/>
      <c r="R512" s="113"/>
      <c r="S512" s="113"/>
      <c r="T512" s="113"/>
      <c r="U512" s="113"/>
      <c r="V512" s="113"/>
      <c r="W512" s="113"/>
      <c r="X512" s="113"/>
      <c r="Y512" s="113"/>
      <c r="Z512" s="113"/>
    </row>
    <row r="513">
      <c r="A513" s="113"/>
      <c r="B513" s="113"/>
      <c r="C513" s="113"/>
      <c r="D513" s="113"/>
      <c r="E513" s="113"/>
      <c r="F513" s="113"/>
      <c r="G513" s="113"/>
      <c r="H513" s="113"/>
      <c r="I513" s="113"/>
      <c r="J513" s="113"/>
      <c r="K513" s="113"/>
      <c r="L513" s="113"/>
      <c r="M513" s="113"/>
      <c r="N513" s="113"/>
      <c r="O513" s="113"/>
      <c r="P513" s="113"/>
      <c r="Q513" s="113"/>
      <c r="R513" s="113"/>
      <c r="S513" s="113"/>
      <c r="T513" s="113"/>
      <c r="U513" s="113"/>
      <c r="V513" s="113"/>
      <c r="W513" s="113"/>
      <c r="X513" s="113"/>
      <c r="Y513" s="113"/>
      <c r="Z513" s="113"/>
    </row>
    <row r="514">
      <c r="A514" s="113"/>
      <c r="B514" s="113"/>
      <c r="C514" s="113"/>
      <c r="D514" s="113"/>
      <c r="E514" s="113"/>
      <c r="F514" s="113"/>
      <c r="G514" s="113"/>
      <c r="H514" s="113"/>
      <c r="I514" s="113"/>
      <c r="J514" s="113"/>
      <c r="K514" s="113"/>
      <c r="L514" s="113"/>
      <c r="M514" s="113"/>
      <c r="N514" s="113"/>
      <c r="O514" s="113"/>
      <c r="P514" s="113"/>
      <c r="Q514" s="113"/>
      <c r="R514" s="113"/>
      <c r="S514" s="113"/>
      <c r="T514" s="113"/>
      <c r="U514" s="113"/>
      <c r="V514" s="113"/>
      <c r="W514" s="113"/>
      <c r="X514" s="113"/>
      <c r="Y514" s="113"/>
      <c r="Z514" s="113"/>
    </row>
    <row r="515">
      <c r="A515" s="113"/>
      <c r="B515" s="113"/>
      <c r="C515" s="113"/>
      <c r="D515" s="113"/>
      <c r="E515" s="113"/>
      <c r="F515" s="113"/>
      <c r="G515" s="113"/>
      <c r="H515" s="113"/>
      <c r="I515" s="113"/>
      <c r="J515" s="113"/>
      <c r="K515" s="113"/>
      <c r="L515" s="113"/>
      <c r="M515" s="113"/>
      <c r="N515" s="113"/>
      <c r="O515" s="113"/>
      <c r="P515" s="113"/>
      <c r="Q515" s="113"/>
      <c r="R515" s="113"/>
      <c r="S515" s="113"/>
      <c r="T515" s="113"/>
      <c r="U515" s="113"/>
      <c r="V515" s="113"/>
      <c r="W515" s="113"/>
      <c r="X515" s="113"/>
      <c r="Y515" s="113"/>
      <c r="Z515" s="113"/>
    </row>
    <row r="516">
      <c r="A516" s="113"/>
      <c r="B516" s="113"/>
      <c r="C516" s="113"/>
      <c r="D516" s="113"/>
      <c r="E516" s="113"/>
      <c r="F516" s="113"/>
      <c r="G516" s="113"/>
      <c r="H516" s="113"/>
      <c r="I516" s="113"/>
      <c r="J516" s="113"/>
      <c r="K516" s="113"/>
      <c r="L516" s="113"/>
      <c r="M516" s="113"/>
      <c r="N516" s="113"/>
      <c r="O516" s="113"/>
      <c r="P516" s="113"/>
      <c r="Q516" s="113"/>
      <c r="R516" s="113"/>
      <c r="S516" s="113"/>
      <c r="T516" s="113"/>
      <c r="U516" s="113"/>
      <c r="V516" s="113"/>
      <c r="W516" s="113"/>
      <c r="X516" s="113"/>
      <c r="Y516" s="113"/>
      <c r="Z516" s="113"/>
    </row>
    <row r="517">
      <c r="A517" s="113"/>
      <c r="B517" s="113"/>
      <c r="C517" s="113"/>
      <c r="D517" s="113"/>
      <c r="E517" s="113"/>
      <c r="F517" s="113"/>
      <c r="G517" s="113"/>
      <c r="H517" s="113"/>
      <c r="I517" s="113"/>
      <c r="J517" s="113"/>
      <c r="K517" s="113"/>
      <c r="L517" s="113"/>
      <c r="M517" s="113"/>
      <c r="N517" s="113"/>
      <c r="O517" s="113"/>
      <c r="P517" s="113"/>
      <c r="Q517" s="113"/>
      <c r="R517" s="113"/>
      <c r="S517" s="113"/>
      <c r="T517" s="113"/>
      <c r="U517" s="113"/>
      <c r="V517" s="113"/>
      <c r="W517" s="113"/>
      <c r="X517" s="113"/>
      <c r="Y517" s="113"/>
      <c r="Z517" s="113"/>
    </row>
    <row r="518">
      <c r="A518" s="113"/>
      <c r="B518" s="113"/>
      <c r="C518" s="113"/>
      <c r="D518" s="113"/>
      <c r="E518" s="113"/>
      <c r="F518" s="113"/>
      <c r="G518" s="113"/>
      <c r="H518" s="113"/>
      <c r="I518" s="113"/>
      <c r="J518" s="113"/>
      <c r="K518" s="113"/>
      <c r="L518" s="113"/>
      <c r="M518" s="113"/>
      <c r="N518" s="113"/>
      <c r="O518" s="113"/>
      <c r="P518" s="113"/>
      <c r="Q518" s="113"/>
      <c r="R518" s="113"/>
      <c r="S518" s="113"/>
      <c r="T518" s="113"/>
      <c r="U518" s="113"/>
      <c r="V518" s="113"/>
      <c r="W518" s="113"/>
      <c r="X518" s="113"/>
      <c r="Y518" s="113"/>
      <c r="Z518" s="113"/>
    </row>
    <row r="519">
      <c r="A519" s="113"/>
      <c r="B519" s="113"/>
      <c r="C519" s="113"/>
      <c r="D519" s="113"/>
      <c r="E519" s="113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  <c r="R519" s="113"/>
      <c r="S519" s="113"/>
      <c r="T519" s="113"/>
      <c r="U519" s="113"/>
      <c r="V519" s="113"/>
      <c r="W519" s="113"/>
      <c r="X519" s="113"/>
      <c r="Y519" s="113"/>
      <c r="Z519" s="113"/>
    </row>
    <row r="520">
      <c r="A520" s="113"/>
      <c r="B520" s="113"/>
      <c r="C520" s="113"/>
      <c r="D520" s="113"/>
      <c r="E520" s="113"/>
      <c r="F520" s="113"/>
      <c r="G520" s="113"/>
      <c r="H520" s="113"/>
      <c r="I520" s="113"/>
      <c r="J520" s="113"/>
      <c r="K520" s="113"/>
      <c r="L520" s="113"/>
      <c r="M520" s="113"/>
      <c r="N520" s="113"/>
      <c r="O520" s="113"/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3"/>
    </row>
    <row r="521">
      <c r="A521" s="113"/>
      <c r="B521" s="113"/>
      <c r="C521" s="113"/>
      <c r="D521" s="113"/>
      <c r="E521" s="113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  <c r="Y521" s="113"/>
      <c r="Z521" s="113"/>
    </row>
    <row r="522">
      <c r="A522" s="113"/>
      <c r="B522" s="113"/>
      <c r="C522" s="113"/>
      <c r="D522" s="113"/>
      <c r="E522" s="113"/>
      <c r="F522" s="113"/>
      <c r="G522" s="113"/>
      <c r="H522" s="113"/>
      <c r="I522" s="113"/>
      <c r="J522" s="113"/>
      <c r="K522" s="113"/>
      <c r="L522" s="113"/>
      <c r="M522" s="113"/>
      <c r="N522" s="113"/>
      <c r="O522" s="113"/>
      <c r="P522" s="113"/>
      <c r="Q522" s="113"/>
      <c r="R522" s="113"/>
      <c r="S522" s="113"/>
      <c r="T522" s="113"/>
      <c r="U522" s="113"/>
      <c r="V522" s="113"/>
      <c r="W522" s="113"/>
      <c r="X522" s="113"/>
      <c r="Y522" s="113"/>
      <c r="Z522" s="113"/>
    </row>
    <row r="523">
      <c r="A523" s="113"/>
      <c r="B523" s="113"/>
      <c r="C523" s="113"/>
      <c r="D523" s="113"/>
      <c r="E523" s="113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  <c r="P523" s="113"/>
      <c r="Q523" s="113"/>
      <c r="R523" s="113"/>
      <c r="S523" s="113"/>
      <c r="T523" s="113"/>
      <c r="U523" s="113"/>
      <c r="V523" s="113"/>
      <c r="W523" s="113"/>
      <c r="X523" s="113"/>
      <c r="Y523" s="113"/>
      <c r="Z523" s="113"/>
    </row>
    <row r="524">
      <c r="A524" s="113"/>
      <c r="B524" s="113"/>
      <c r="C524" s="113"/>
      <c r="D524" s="113"/>
      <c r="E524" s="113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  <c r="P524" s="113"/>
      <c r="Q524" s="113"/>
      <c r="R524" s="113"/>
      <c r="S524" s="113"/>
      <c r="T524" s="113"/>
      <c r="U524" s="113"/>
      <c r="V524" s="113"/>
      <c r="W524" s="113"/>
      <c r="X524" s="113"/>
      <c r="Y524" s="113"/>
      <c r="Z524" s="113"/>
    </row>
    <row r="525">
      <c r="A525" s="113"/>
      <c r="B525" s="113"/>
      <c r="C525" s="113"/>
      <c r="D525" s="113"/>
      <c r="E525" s="113"/>
      <c r="F525" s="113"/>
      <c r="G525" s="113"/>
      <c r="H525" s="113"/>
      <c r="I525" s="113"/>
      <c r="J525" s="113"/>
      <c r="K525" s="113"/>
      <c r="L525" s="113"/>
      <c r="M525" s="113"/>
      <c r="N525" s="113"/>
      <c r="O525" s="113"/>
      <c r="P525" s="113"/>
      <c r="Q525" s="113"/>
      <c r="R525" s="113"/>
      <c r="S525" s="113"/>
      <c r="T525" s="113"/>
      <c r="U525" s="113"/>
      <c r="V525" s="113"/>
      <c r="W525" s="113"/>
      <c r="X525" s="113"/>
      <c r="Y525" s="113"/>
      <c r="Z525" s="113"/>
    </row>
    <row r="526">
      <c r="A526" s="113"/>
      <c r="B526" s="113"/>
      <c r="C526" s="113"/>
      <c r="D526" s="113"/>
      <c r="E526" s="113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  <c r="P526" s="113"/>
      <c r="Q526" s="113"/>
      <c r="R526" s="113"/>
      <c r="S526" s="113"/>
      <c r="T526" s="113"/>
      <c r="U526" s="113"/>
      <c r="V526" s="113"/>
      <c r="W526" s="113"/>
      <c r="X526" s="113"/>
      <c r="Y526" s="113"/>
      <c r="Z526" s="113"/>
    </row>
    <row r="527">
      <c r="A527" s="113"/>
      <c r="B527" s="113"/>
      <c r="C527" s="113"/>
      <c r="D527" s="113"/>
      <c r="E527" s="113"/>
      <c r="F527" s="113"/>
      <c r="G527" s="113"/>
      <c r="H527" s="113"/>
      <c r="I527" s="113"/>
      <c r="J527" s="113"/>
      <c r="K527" s="113"/>
      <c r="L527" s="113"/>
      <c r="M527" s="113"/>
      <c r="N527" s="113"/>
      <c r="O527" s="113"/>
      <c r="P527" s="113"/>
      <c r="Q527" s="113"/>
      <c r="R527" s="113"/>
      <c r="S527" s="113"/>
      <c r="T527" s="113"/>
      <c r="U527" s="113"/>
      <c r="V527" s="113"/>
      <c r="W527" s="113"/>
      <c r="X527" s="113"/>
      <c r="Y527" s="113"/>
      <c r="Z527" s="113"/>
    </row>
    <row r="528">
      <c r="A528" s="113"/>
      <c r="B528" s="113"/>
      <c r="C528" s="113"/>
      <c r="D528" s="113"/>
      <c r="E528" s="113"/>
      <c r="F528" s="113"/>
      <c r="G528" s="113"/>
      <c r="H528" s="113"/>
      <c r="I528" s="113"/>
      <c r="J528" s="113"/>
      <c r="K528" s="113"/>
      <c r="L528" s="113"/>
      <c r="M528" s="113"/>
      <c r="N528" s="113"/>
      <c r="O528" s="113"/>
      <c r="P528" s="113"/>
      <c r="Q528" s="113"/>
      <c r="R528" s="113"/>
      <c r="S528" s="113"/>
      <c r="T528" s="113"/>
      <c r="U528" s="113"/>
      <c r="V528" s="113"/>
      <c r="W528" s="113"/>
      <c r="X528" s="113"/>
      <c r="Y528" s="113"/>
      <c r="Z528" s="113"/>
    </row>
    <row r="529">
      <c r="A529" s="113"/>
      <c r="B529" s="113"/>
      <c r="C529" s="113"/>
      <c r="D529" s="113"/>
      <c r="E529" s="113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  <c r="P529" s="113"/>
      <c r="Q529" s="113"/>
      <c r="R529" s="113"/>
      <c r="S529" s="113"/>
      <c r="T529" s="113"/>
      <c r="U529" s="113"/>
      <c r="V529" s="113"/>
      <c r="W529" s="113"/>
      <c r="X529" s="113"/>
      <c r="Y529" s="113"/>
      <c r="Z529" s="113"/>
    </row>
    <row r="530">
      <c r="A530" s="113"/>
      <c r="B530" s="113"/>
      <c r="C530" s="113"/>
      <c r="D530" s="113"/>
      <c r="E530" s="113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/>
      <c r="W530" s="113"/>
      <c r="X530" s="113"/>
      <c r="Y530" s="113"/>
      <c r="Z530" s="113"/>
    </row>
    <row r="531">
      <c r="A531" s="113"/>
      <c r="B531" s="113"/>
      <c r="C531" s="113"/>
      <c r="D531" s="113"/>
      <c r="E531" s="113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  <c r="P531" s="113"/>
      <c r="Q531" s="113"/>
      <c r="R531" s="113"/>
      <c r="S531" s="113"/>
      <c r="T531" s="113"/>
      <c r="U531" s="113"/>
      <c r="V531" s="113"/>
      <c r="W531" s="113"/>
      <c r="X531" s="113"/>
      <c r="Y531" s="113"/>
      <c r="Z531" s="113"/>
    </row>
    <row r="532">
      <c r="A532" s="113"/>
      <c r="B532" s="113"/>
      <c r="C532" s="113"/>
      <c r="D532" s="113"/>
      <c r="E532" s="113"/>
      <c r="F532" s="113"/>
      <c r="G532" s="113"/>
      <c r="H532" s="113"/>
      <c r="I532" s="113"/>
      <c r="J532" s="113"/>
      <c r="K532" s="113"/>
      <c r="L532" s="113"/>
      <c r="M532" s="113"/>
      <c r="N532" s="113"/>
      <c r="O532" s="113"/>
      <c r="P532" s="113"/>
      <c r="Q532" s="113"/>
      <c r="R532" s="113"/>
      <c r="S532" s="113"/>
      <c r="T532" s="113"/>
      <c r="U532" s="113"/>
      <c r="V532" s="113"/>
      <c r="W532" s="113"/>
      <c r="X532" s="113"/>
      <c r="Y532" s="113"/>
      <c r="Z532" s="113"/>
    </row>
    <row r="533">
      <c r="A533" s="113"/>
      <c r="B533" s="113"/>
      <c r="C533" s="113"/>
      <c r="D533" s="113"/>
      <c r="E533" s="113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  <c r="P533" s="113"/>
      <c r="Q533" s="113"/>
      <c r="R533" s="113"/>
      <c r="S533" s="113"/>
      <c r="T533" s="113"/>
      <c r="U533" s="113"/>
      <c r="V533" s="113"/>
      <c r="W533" s="113"/>
      <c r="X533" s="113"/>
      <c r="Y533" s="113"/>
      <c r="Z533" s="113"/>
    </row>
    <row r="534">
      <c r="A534" s="113"/>
      <c r="B534" s="113"/>
      <c r="C534" s="113"/>
      <c r="D534" s="113"/>
      <c r="E534" s="113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/>
      <c r="W534" s="113"/>
      <c r="X534" s="113"/>
      <c r="Y534" s="113"/>
      <c r="Z534" s="113"/>
    </row>
    <row r="535">
      <c r="A535" s="113"/>
      <c r="B535" s="113"/>
      <c r="C535" s="113"/>
      <c r="D535" s="113"/>
      <c r="E535" s="113"/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  <c r="P535" s="113"/>
      <c r="Q535" s="113"/>
      <c r="R535" s="113"/>
      <c r="S535" s="113"/>
      <c r="T535" s="113"/>
      <c r="U535" s="113"/>
      <c r="V535" s="113"/>
      <c r="W535" s="113"/>
      <c r="X535" s="113"/>
      <c r="Y535" s="113"/>
      <c r="Z535" s="113"/>
    </row>
    <row r="536">
      <c r="A536" s="113"/>
      <c r="B536" s="113"/>
      <c r="C536" s="113"/>
      <c r="D536" s="113"/>
      <c r="E536" s="113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/>
      <c r="W536" s="113"/>
      <c r="X536" s="113"/>
      <c r="Y536" s="113"/>
      <c r="Z536" s="113"/>
    </row>
    <row r="537">
      <c r="A537" s="113"/>
      <c r="B537" s="113"/>
      <c r="C537" s="113"/>
      <c r="D537" s="113"/>
      <c r="E537" s="113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  <c r="R537" s="113"/>
      <c r="S537" s="113"/>
      <c r="T537" s="113"/>
      <c r="U537" s="113"/>
      <c r="V537" s="113"/>
      <c r="W537" s="113"/>
      <c r="X537" s="113"/>
      <c r="Y537" s="113"/>
      <c r="Z537" s="113"/>
    </row>
    <row r="538">
      <c r="A538" s="113"/>
      <c r="B538" s="113"/>
      <c r="C538" s="113"/>
      <c r="D538" s="113"/>
      <c r="E538" s="113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  <c r="R538" s="113"/>
      <c r="S538" s="113"/>
      <c r="T538" s="113"/>
      <c r="U538" s="113"/>
      <c r="V538" s="113"/>
      <c r="W538" s="113"/>
      <c r="X538" s="113"/>
      <c r="Y538" s="113"/>
      <c r="Z538" s="113"/>
    </row>
    <row r="539">
      <c r="A539" s="113"/>
      <c r="B539" s="113"/>
      <c r="C539" s="113"/>
      <c r="D539" s="113"/>
      <c r="E539" s="113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  <c r="P539" s="113"/>
      <c r="Q539" s="113"/>
      <c r="R539" s="113"/>
      <c r="S539" s="113"/>
      <c r="T539" s="113"/>
      <c r="U539" s="113"/>
      <c r="V539" s="113"/>
      <c r="W539" s="113"/>
      <c r="X539" s="113"/>
      <c r="Y539" s="113"/>
      <c r="Z539" s="113"/>
    </row>
    <row r="540">
      <c r="A540" s="113"/>
      <c r="B540" s="113"/>
      <c r="C540" s="113"/>
      <c r="D540" s="113"/>
      <c r="E540" s="113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  <c r="P540" s="113"/>
      <c r="Q540" s="113"/>
      <c r="R540" s="113"/>
      <c r="S540" s="113"/>
      <c r="T540" s="113"/>
      <c r="U540" s="113"/>
      <c r="V540" s="113"/>
      <c r="W540" s="113"/>
      <c r="X540" s="113"/>
      <c r="Y540" s="113"/>
      <c r="Z540" s="113"/>
    </row>
    <row r="541">
      <c r="A541" s="113"/>
      <c r="B541" s="113"/>
      <c r="C541" s="113"/>
      <c r="D541" s="113"/>
      <c r="E541" s="113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  <c r="P541" s="113"/>
      <c r="Q541" s="113"/>
      <c r="R541" s="113"/>
      <c r="S541" s="113"/>
      <c r="T541" s="113"/>
      <c r="U541" s="113"/>
      <c r="V541" s="113"/>
      <c r="W541" s="113"/>
      <c r="X541" s="113"/>
      <c r="Y541" s="113"/>
      <c r="Z541" s="113"/>
    </row>
    <row r="542">
      <c r="A542" s="113"/>
      <c r="B542" s="113"/>
      <c r="C542" s="113"/>
      <c r="D542" s="113"/>
      <c r="E542" s="113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  <c r="R542" s="113"/>
      <c r="S542" s="113"/>
      <c r="T542" s="113"/>
      <c r="U542" s="113"/>
      <c r="V542" s="113"/>
      <c r="W542" s="113"/>
      <c r="X542" s="113"/>
      <c r="Y542" s="113"/>
      <c r="Z542" s="113"/>
    </row>
    <row r="543">
      <c r="A543" s="113"/>
      <c r="B543" s="113"/>
      <c r="C543" s="113"/>
      <c r="D543" s="113"/>
      <c r="E543" s="113"/>
      <c r="F543" s="113"/>
      <c r="G543" s="113"/>
      <c r="H543" s="113"/>
      <c r="I543" s="113"/>
      <c r="J543" s="113"/>
      <c r="K543" s="113"/>
      <c r="L543" s="113"/>
      <c r="M543" s="113"/>
      <c r="N543" s="113"/>
      <c r="O543" s="113"/>
      <c r="P543" s="113"/>
      <c r="Q543" s="113"/>
      <c r="R543" s="113"/>
      <c r="S543" s="113"/>
      <c r="T543" s="113"/>
      <c r="U543" s="113"/>
      <c r="V543" s="113"/>
      <c r="W543" s="113"/>
      <c r="X543" s="113"/>
      <c r="Y543" s="113"/>
      <c r="Z543" s="113"/>
    </row>
    <row r="544">
      <c r="A544" s="113"/>
      <c r="B544" s="113"/>
      <c r="C544" s="113"/>
      <c r="D544" s="113"/>
      <c r="E544" s="113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  <c r="R544" s="113"/>
      <c r="S544" s="113"/>
      <c r="T544" s="113"/>
      <c r="U544" s="113"/>
      <c r="V544" s="113"/>
      <c r="W544" s="113"/>
      <c r="X544" s="113"/>
      <c r="Y544" s="113"/>
      <c r="Z544" s="113"/>
    </row>
    <row r="545">
      <c r="A545" s="113"/>
      <c r="B545" s="113"/>
      <c r="C545" s="113"/>
      <c r="D545" s="113"/>
      <c r="E545" s="113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  <c r="R545" s="113"/>
      <c r="S545" s="113"/>
      <c r="T545" s="113"/>
      <c r="U545" s="113"/>
      <c r="V545" s="113"/>
      <c r="W545" s="113"/>
      <c r="X545" s="113"/>
      <c r="Y545" s="113"/>
      <c r="Z545" s="113"/>
    </row>
    <row r="546">
      <c r="A546" s="113"/>
      <c r="B546" s="113"/>
      <c r="C546" s="113"/>
      <c r="D546" s="113"/>
      <c r="E546" s="113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  <c r="V546" s="113"/>
      <c r="W546" s="113"/>
      <c r="X546" s="113"/>
      <c r="Y546" s="113"/>
      <c r="Z546" s="113"/>
    </row>
    <row r="547">
      <c r="A547" s="113"/>
      <c r="B547" s="113"/>
      <c r="C547" s="113"/>
      <c r="D547" s="113"/>
      <c r="E547" s="113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  <c r="P547" s="113"/>
      <c r="Q547" s="113"/>
      <c r="R547" s="113"/>
      <c r="S547" s="113"/>
      <c r="T547" s="113"/>
      <c r="U547" s="113"/>
      <c r="V547" s="113"/>
      <c r="W547" s="113"/>
      <c r="X547" s="113"/>
      <c r="Y547" s="113"/>
      <c r="Z547" s="113"/>
    </row>
    <row r="548">
      <c r="A548" s="113"/>
      <c r="B548" s="113"/>
      <c r="C548" s="113"/>
      <c r="D548" s="113"/>
      <c r="E548" s="113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  <c r="P548" s="113"/>
      <c r="Q548" s="113"/>
      <c r="R548" s="113"/>
      <c r="S548" s="113"/>
      <c r="T548" s="113"/>
      <c r="U548" s="113"/>
      <c r="V548" s="113"/>
      <c r="W548" s="113"/>
      <c r="X548" s="113"/>
      <c r="Y548" s="113"/>
      <c r="Z548" s="113"/>
    </row>
    <row r="549">
      <c r="A549" s="113"/>
      <c r="B549" s="113"/>
      <c r="C549" s="113"/>
      <c r="D549" s="113"/>
      <c r="E549" s="113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  <c r="P549" s="113"/>
      <c r="Q549" s="113"/>
      <c r="R549" s="113"/>
      <c r="S549" s="113"/>
      <c r="T549" s="113"/>
      <c r="U549" s="113"/>
      <c r="V549" s="113"/>
      <c r="W549" s="113"/>
      <c r="X549" s="113"/>
      <c r="Y549" s="113"/>
      <c r="Z549" s="113"/>
    </row>
    <row r="550">
      <c r="A550" s="113"/>
      <c r="B550" s="113"/>
      <c r="C550" s="113"/>
      <c r="D550" s="113"/>
      <c r="E550" s="113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  <c r="X550" s="113"/>
      <c r="Y550" s="113"/>
      <c r="Z550" s="113"/>
    </row>
    <row r="551">
      <c r="A551" s="113"/>
      <c r="B551" s="113"/>
      <c r="C551" s="113"/>
      <c r="D551" s="113"/>
      <c r="E551" s="113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  <c r="V551" s="113"/>
      <c r="W551" s="113"/>
      <c r="X551" s="113"/>
      <c r="Y551" s="113"/>
      <c r="Z551" s="113"/>
    </row>
    <row r="552">
      <c r="A552" s="113"/>
      <c r="B552" s="113"/>
      <c r="C552" s="113"/>
      <c r="D552" s="113"/>
      <c r="E552" s="113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113"/>
      <c r="W552" s="113"/>
      <c r="X552" s="113"/>
      <c r="Y552" s="113"/>
      <c r="Z552" s="113"/>
    </row>
    <row r="553">
      <c r="A553" s="113"/>
      <c r="B553" s="113"/>
      <c r="C553" s="113"/>
      <c r="D553" s="113"/>
      <c r="E553" s="113"/>
      <c r="F553" s="113"/>
      <c r="G553" s="113"/>
      <c r="H553" s="113"/>
      <c r="I553" s="113"/>
      <c r="J553" s="113"/>
      <c r="K553" s="113"/>
      <c r="L553" s="113"/>
      <c r="M553" s="113"/>
      <c r="N553" s="113"/>
      <c r="O553" s="113"/>
      <c r="P553" s="113"/>
      <c r="Q553" s="113"/>
      <c r="R553" s="113"/>
      <c r="S553" s="113"/>
      <c r="T553" s="113"/>
      <c r="U553" s="113"/>
      <c r="V553" s="113"/>
      <c r="W553" s="113"/>
      <c r="X553" s="113"/>
      <c r="Y553" s="113"/>
      <c r="Z553" s="113"/>
    </row>
    <row r="554">
      <c r="A554" s="113"/>
      <c r="B554" s="113"/>
      <c r="C554" s="113"/>
      <c r="D554" s="113"/>
      <c r="E554" s="113"/>
      <c r="F554" s="113"/>
      <c r="G554" s="113"/>
      <c r="H554" s="113"/>
      <c r="I554" s="113"/>
      <c r="J554" s="113"/>
      <c r="K554" s="113"/>
      <c r="L554" s="113"/>
      <c r="M554" s="113"/>
      <c r="N554" s="113"/>
      <c r="O554" s="113"/>
      <c r="P554" s="113"/>
      <c r="Q554" s="113"/>
      <c r="R554" s="113"/>
      <c r="S554" s="113"/>
      <c r="T554" s="113"/>
      <c r="U554" s="113"/>
      <c r="V554" s="113"/>
      <c r="W554" s="113"/>
      <c r="X554" s="113"/>
      <c r="Y554" s="113"/>
      <c r="Z554" s="113"/>
    </row>
    <row r="555">
      <c r="A555" s="113"/>
      <c r="B555" s="113"/>
      <c r="C555" s="113"/>
      <c r="D555" s="113"/>
      <c r="E555" s="113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  <c r="V555" s="113"/>
      <c r="W555" s="113"/>
      <c r="X555" s="113"/>
      <c r="Y555" s="113"/>
      <c r="Z555" s="113"/>
    </row>
    <row r="556">
      <c r="A556" s="113"/>
      <c r="B556" s="113"/>
      <c r="C556" s="113"/>
      <c r="D556" s="113"/>
      <c r="E556" s="113"/>
      <c r="F556" s="113"/>
      <c r="G556" s="113"/>
      <c r="H556" s="113"/>
      <c r="I556" s="113"/>
      <c r="J556" s="113"/>
      <c r="K556" s="113"/>
      <c r="L556" s="113"/>
      <c r="M556" s="113"/>
      <c r="N556" s="113"/>
      <c r="O556" s="113"/>
      <c r="P556" s="113"/>
      <c r="Q556" s="113"/>
      <c r="R556" s="113"/>
      <c r="S556" s="113"/>
      <c r="T556" s="113"/>
      <c r="U556" s="113"/>
      <c r="V556" s="113"/>
      <c r="W556" s="113"/>
      <c r="X556" s="113"/>
      <c r="Y556" s="113"/>
      <c r="Z556" s="113"/>
    </row>
    <row r="557">
      <c r="A557" s="113"/>
      <c r="B557" s="113"/>
      <c r="C557" s="113"/>
      <c r="D557" s="113"/>
      <c r="E557" s="113"/>
      <c r="F557" s="113"/>
      <c r="G557" s="113"/>
      <c r="H557" s="113"/>
      <c r="I557" s="113"/>
      <c r="J557" s="113"/>
      <c r="K557" s="113"/>
      <c r="L557" s="113"/>
      <c r="M557" s="113"/>
      <c r="N557" s="113"/>
      <c r="O557" s="113"/>
      <c r="P557" s="113"/>
      <c r="Q557" s="113"/>
      <c r="R557" s="113"/>
      <c r="S557" s="113"/>
      <c r="T557" s="113"/>
      <c r="U557" s="113"/>
      <c r="V557" s="113"/>
      <c r="W557" s="113"/>
      <c r="X557" s="113"/>
      <c r="Y557" s="113"/>
      <c r="Z557" s="113"/>
    </row>
    <row r="558">
      <c r="A558" s="113"/>
      <c r="B558" s="113"/>
      <c r="C558" s="113"/>
      <c r="D558" s="113"/>
      <c r="E558" s="113"/>
      <c r="F558" s="113"/>
      <c r="G558" s="113"/>
      <c r="H558" s="113"/>
      <c r="I558" s="113"/>
      <c r="J558" s="113"/>
      <c r="K558" s="113"/>
      <c r="L558" s="113"/>
      <c r="M558" s="113"/>
      <c r="N558" s="113"/>
      <c r="O558" s="113"/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3"/>
    </row>
    <row r="559">
      <c r="A559" s="113"/>
      <c r="B559" s="113"/>
      <c r="C559" s="113"/>
      <c r="D559" s="113"/>
      <c r="E559" s="113"/>
      <c r="F559" s="113"/>
      <c r="G559" s="113"/>
      <c r="H559" s="113"/>
      <c r="I559" s="113"/>
      <c r="J559" s="113"/>
      <c r="K559" s="113"/>
      <c r="L559" s="113"/>
      <c r="M559" s="113"/>
      <c r="N559" s="113"/>
      <c r="O559" s="113"/>
      <c r="P559" s="113"/>
      <c r="Q559" s="113"/>
      <c r="R559" s="113"/>
      <c r="S559" s="113"/>
      <c r="T559" s="113"/>
      <c r="U559" s="113"/>
      <c r="V559" s="113"/>
      <c r="W559" s="113"/>
      <c r="X559" s="113"/>
      <c r="Y559" s="113"/>
      <c r="Z559" s="113"/>
    </row>
    <row r="560">
      <c r="A560" s="113"/>
      <c r="B560" s="113"/>
      <c r="C560" s="113"/>
      <c r="D560" s="113"/>
      <c r="E560" s="113"/>
      <c r="F560" s="113"/>
      <c r="G560" s="113"/>
      <c r="H560" s="113"/>
      <c r="I560" s="113"/>
      <c r="J560" s="113"/>
      <c r="K560" s="113"/>
      <c r="L560" s="113"/>
      <c r="M560" s="113"/>
      <c r="N560" s="113"/>
      <c r="O560" s="113"/>
      <c r="P560" s="113"/>
      <c r="Q560" s="113"/>
      <c r="R560" s="113"/>
      <c r="S560" s="113"/>
      <c r="T560" s="113"/>
      <c r="U560" s="113"/>
      <c r="V560" s="113"/>
      <c r="W560" s="113"/>
      <c r="X560" s="113"/>
      <c r="Y560" s="113"/>
      <c r="Z560" s="113"/>
    </row>
    <row r="561">
      <c r="A561" s="113"/>
      <c r="B561" s="113"/>
      <c r="C561" s="113"/>
      <c r="D561" s="113"/>
      <c r="E561" s="113"/>
      <c r="F561" s="113"/>
      <c r="G561" s="113"/>
      <c r="H561" s="113"/>
      <c r="I561" s="113"/>
      <c r="J561" s="113"/>
      <c r="K561" s="113"/>
      <c r="L561" s="113"/>
      <c r="M561" s="113"/>
      <c r="N561" s="113"/>
      <c r="O561" s="113"/>
      <c r="P561" s="113"/>
      <c r="Q561" s="113"/>
      <c r="R561" s="113"/>
      <c r="S561" s="113"/>
      <c r="T561" s="113"/>
      <c r="U561" s="113"/>
      <c r="V561" s="113"/>
      <c r="W561" s="113"/>
      <c r="X561" s="113"/>
      <c r="Y561" s="113"/>
      <c r="Z561" s="113"/>
    </row>
    <row r="562">
      <c r="A562" s="113"/>
      <c r="B562" s="113"/>
      <c r="C562" s="113"/>
      <c r="D562" s="113"/>
      <c r="E562" s="113"/>
      <c r="F562" s="113"/>
      <c r="G562" s="113"/>
      <c r="H562" s="113"/>
      <c r="I562" s="113"/>
      <c r="J562" s="113"/>
      <c r="K562" s="113"/>
      <c r="L562" s="113"/>
      <c r="M562" s="113"/>
      <c r="N562" s="113"/>
      <c r="O562" s="113"/>
      <c r="P562" s="113"/>
      <c r="Q562" s="113"/>
      <c r="R562" s="113"/>
      <c r="S562" s="113"/>
      <c r="T562" s="113"/>
      <c r="U562" s="113"/>
      <c r="V562" s="113"/>
      <c r="W562" s="113"/>
      <c r="X562" s="113"/>
      <c r="Y562" s="113"/>
      <c r="Z562" s="113"/>
    </row>
    <row r="563">
      <c r="A563" s="113"/>
      <c r="B563" s="113"/>
      <c r="C563" s="113"/>
      <c r="D563" s="113"/>
      <c r="E563" s="113"/>
      <c r="F563" s="113"/>
      <c r="G563" s="113"/>
      <c r="H563" s="113"/>
      <c r="I563" s="113"/>
      <c r="J563" s="113"/>
      <c r="K563" s="113"/>
      <c r="L563" s="113"/>
      <c r="M563" s="113"/>
      <c r="N563" s="113"/>
      <c r="O563" s="113"/>
      <c r="P563" s="113"/>
      <c r="Q563" s="113"/>
      <c r="R563" s="113"/>
      <c r="S563" s="113"/>
      <c r="T563" s="113"/>
      <c r="U563" s="113"/>
      <c r="V563" s="113"/>
      <c r="W563" s="113"/>
      <c r="X563" s="113"/>
      <c r="Y563" s="113"/>
      <c r="Z563" s="113"/>
    </row>
    <row r="564">
      <c r="A564" s="113"/>
      <c r="B564" s="113"/>
      <c r="C564" s="113"/>
      <c r="D564" s="113"/>
      <c r="E564" s="113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  <c r="P564" s="113"/>
      <c r="Q564" s="113"/>
      <c r="R564" s="113"/>
      <c r="S564" s="113"/>
      <c r="T564" s="113"/>
      <c r="U564" s="113"/>
      <c r="V564" s="113"/>
      <c r="W564" s="113"/>
      <c r="X564" s="113"/>
      <c r="Y564" s="113"/>
      <c r="Z564" s="113"/>
    </row>
    <row r="565">
      <c r="A565" s="113"/>
      <c r="B565" s="113"/>
      <c r="C565" s="113"/>
      <c r="D565" s="113"/>
      <c r="E565" s="113"/>
      <c r="F565" s="113"/>
      <c r="G565" s="113"/>
      <c r="H565" s="113"/>
      <c r="I565" s="113"/>
      <c r="J565" s="113"/>
      <c r="K565" s="113"/>
      <c r="L565" s="113"/>
      <c r="M565" s="113"/>
      <c r="N565" s="113"/>
      <c r="O565" s="113"/>
      <c r="P565" s="113"/>
      <c r="Q565" s="113"/>
      <c r="R565" s="113"/>
      <c r="S565" s="113"/>
      <c r="T565" s="113"/>
      <c r="U565" s="113"/>
      <c r="V565" s="113"/>
      <c r="W565" s="113"/>
      <c r="X565" s="113"/>
      <c r="Y565" s="113"/>
      <c r="Z565" s="113"/>
    </row>
    <row r="566">
      <c r="A566" s="113"/>
      <c r="B566" s="113"/>
      <c r="C566" s="113"/>
      <c r="D566" s="113"/>
      <c r="E566" s="113"/>
      <c r="F566" s="113"/>
      <c r="G566" s="113"/>
      <c r="H566" s="113"/>
      <c r="I566" s="113"/>
      <c r="J566" s="113"/>
      <c r="K566" s="113"/>
      <c r="L566" s="113"/>
      <c r="M566" s="113"/>
      <c r="N566" s="113"/>
      <c r="O566" s="113"/>
      <c r="P566" s="113"/>
      <c r="Q566" s="113"/>
      <c r="R566" s="113"/>
      <c r="S566" s="113"/>
      <c r="T566" s="113"/>
      <c r="U566" s="113"/>
      <c r="V566" s="113"/>
      <c r="W566" s="113"/>
      <c r="X566" s="113"/>
      <c r="Y566" s="113"/>
      <c r="Z566" s="113"/>
    </row>
    <row r="567">
      <c r="A567" s="113"/>
      <c r="B567" s="113"/>
      <c r="C567" s="113"/>
      <c r="D567" s="113"/>
      <c r="E567" s="113"/>
      <c r="F567" s="113"/>
      <c r="G567" s="113"/>
      <c r="H567" s="113"/>
      <c r="I567" s="113"/>
      <c r="J567" s="113"/>
      <c r="K567" s="113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  <c r="V567" s="113"/>
      <c r="W567" s="113"/>
      <c r="X567" s="113"/>
      <c r="Y567" s="113"/>
      <c r="Z567" s="113"/>
    </row>
    <row r="568">
      <c r="A568" s="113"/>
      <c r="B568" s="113"/>
      <c r="C568" s="113"/>
      <c r="D568" s="113"/>
      <c r="E568" s="113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  <c r="P568" s="113"/>
      <c r="Q568" s="113"/>
      <c r="R568" s="113"/>
      <c r="S568" s="113"/>
      <c r="T568" s="113"/>
      <c r="U568" s="113"/>
      <c r="V568" s="113"/>
      <c r="W568" s="113"/>
      <c r="X568" s="113"/>
      <c r="Y568" s="113"/>
      <c r="Z568" s="113"/>
    </row>
    <row r="569">
      <c r="A569" s="113"/>
      <c r="B569" s="113"/>
      <c r="C569" s="113"/>
      <c r="D569" s="113"/>
      <c r="E569" s="113"/>
      <c r="F569" s="113"/>
      <c r="G569" s="113"/>
      <c r="H569" s="113"/>
      <c r="I569" s="113"/>
      <c r="J569" s="113"/>
      <c r="K569" s="113"/>
      <c r="L569" s="113"/>
      <c r="M569" s="113"/>
      <c r="N569" s="113"/>
      <c r="O569" s="113"/>
      <c r="P569" s="113"/>
      <c r="Q569" s="113"/>
      <c r="R569" s="113"/>
      <c r="S569" s="113"/>
      <c r="T569" s="113"/>
      <c r="U569" s="113"/>
      <c r="V569" s="113"/>
      <c r="W569" s="113"/>
      <c r="X569" s="113"/>
      <c r="Y569" s="113"/>
      <c r="Z569" s="113"/>
    </row>
    <row r="570">
      <c r="A570" s="113"/>
      <c r="B570" s="113"/>
      <c r="C570" s="113"/>
      <c r="D570" s="113"/>
      <c r="E570" s="113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  <c r="X570" s="113"/>
      <c r="Y570" s="113"/>
      <c r="Z570" s="113"/>
    </row>
    <row r="571">
      <c r="A571" s="113"/>
      <c r="B571" s="113"/>
      <c r="C571" s="113"/>
      <c r="D571" s="113"/>
      <c r="E571" s="113"/>
      <c r="F571" s="113"/>
      <c r="G571" s="113"/>
      <c r="H571" s="113"/>
      <c r="I571" s="113"/>
      <c r="J571" s="113"/>
      <c r="K571" s="113"/>
      <c r="L571" s="113"/>
      <c r="M571" s="113"/>
      <c r="N571" s="113"/>
      <c r="O571" s="113"/>
      <c r="P571" s="113"/>
      <c r="Q571" s="113"/>
      <c r="R571" s="113"/>
      <c r="S571" s="113"/>
      <c r="T571" s="113"/>
      <c r="U571" s="113"/>
      <c r="V571" s="113"/>
      <c r="W571" s="113"/>
      <c r="X571" s="113"/>
      <c r="Y571" s="113"/>
      <c r="Z571" s="113"/>
    </row>
    <row r="572">
      <c r="A572" s="113"/>
      <c r="B572" s="113"/>
      <c r="C572" s="113"/>
      <c r="D572" s="113"/>
      <c r="E572" s="113"/>
      <c r="F572" s="113"/>
      <c r="G572" s="113"/>
      <c r="H572" s="113"/>
      <c r="I572" s="113"/>
      <c r="J572" s="113"/>
      <c r="K572" s="113"/>
      <c r="L572" s="113"/>
      <c r="M572" s="113"/>
      <c r="N572" s="113"/>
      <c r="O572" s="113"/>
      <c r="P572" s="113"/>
      <c r="Q572" s="113"/>
      <c r="R572" s="113"/>
      <c r="S572" s="113"/>
      <c r="T572" s="113"/>
      <c r="U572" s="113"/>
      <c r="V572" s="113"/>
      <c r="W572" s="113"/>
      <c r="X572" s="113"/>
      <c r="Y572" s="113"/>
      <c r="Z572" s="113"/>
    </row>
    <row r="573">
      <c r="A573" s="113"/>
      <c r="B573" s="113"/>
      <c r="C573" s="113"/>
      <c r="D573" s="113"/>
      <c r="E573" s="113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/>
      <c r="W573" s="113"/>
      <c r="X573" s="113"/>
      <c r="Y573" s="113"/>
      <c r="Z573" s="113"/>
    </row>
    <row r="574">
      <c r="A574" s="113"/>
      <c r="B574" s="113"/>
      <c r="C574" s="113"/>
      <c r="D574" s="113"/>
      <c r="E574" s="113"/>
      <c r="F574" s="113"/>
      <c r="G574" s="113"/>
      <c r="H574" s="113"/>
      <c r="I574" s="113"/>
      <c r="J574" s="113"/>
      <c r="K574" s="113"/>
      <c r="L574" s="113"/>
      <c r="M574" s="113"/>
      <c r="N574" s="113"/>
      <c r="O574" s="113"/>
      <c r="P574" s="113"/>
      <c r="Q574" s="113"/>
      <c r="R574" s="113"/>
      <c r="S574" s="113"/>
      <c r="T574" s="113"/>
      <c r="U574" s="113"/>
      <c r="V574" s="113"/>
      <c r="W574" s="113"/>
      <c r="X574" s="113"/>
      <c r="Y574" s="113"/>
      <c r="Z574" s="113"/>
    </row>
    <row r="575">
      <c r="A575" s="113"/>
      <c r="B575" s="113"/>
      <c r="C575" s="113"/>
      <c r="D575" s="113"/>
      <c r="E575" s="113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  <c r="R575" s="113"/>
      <c r="S575" s="113"/>
      <c r="T575" s="113"/>
      <c r="U575" s="113"/>
      <c r="V575" s="113"/>
      <c r="W575" s="113"/>
      <c r="X575" s="113"/>
      <c r="Y575" s="113"/>
      <c r="Z575" s="113"/>
    </row>
    <row r="576">
      <c r="A576" s="113"/>
      <c r="B576" s="113"/>
      <c r="C576" s="113"/>
      <c r="D576" s="113"/>
      <c r="E576" s="113"/>
      <c r="F576" s="113"/>
      <c r="G576" s="113"/>
      <c r="H576" s="113"/>
      <c r="I576" s="113"/>
      <c r="J576" s="113"/>
      <c r="K576" s="113"/>
      <c r="L576" s="113"/>
      <c r="M576" s="113"/>
      <c r="N576" s="113"/>
      <c r="O576" s="113"/>
      <c r="P576" s="113"/>
      <c r="Q576" s="113"/>
      <c r="R576" s="113"/>
      <c r="S576" s="113"/>
      <c r="T576" s="113"/>
      <c r="U576" s="113"/>
      <c r="V576" s="113"/>
      <c r="W576" s="113"/>
      <c r="X576" s="113"/>
      <c r="Y576" s="113"/>
      <c r="Z576" s="113"/>
    </row>
    <row r="577">
      <c r="A577" s="113"/>
      <c r="B577" s="113"/>
      <c r="C577" s="113"/>
      <c r="D577" s="113"/>
      <c r="E577" s="113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/>
      <c r="W577" s="113"/>
      <c r="X577" s="113"/>
      <c r="Y577" s="113"/>
      <c r="Z577" s="113"/>
    </row>
    <row r="578">
      <c r="A578" s="113"/>
      <c r="B578" s="113"/>
      <c r="C578" s="113"/>
      <c r="D578" s="113"/>
      <c r="E578" s="113"/>
      <c r="F578" s="113"/>
      <c r="G578" s="113"/>
      <c r="H578" s="113"/>
      <c r="I578" s="113"/>
      <c r="J578" s="113"/>
      <c r="K578" s="113"/>
      <c r="L578" s="113"/>
      <c r="M578" s="113"/>
      <c r="N578" s="113"/>
      <c r="O578" s="113"/>
      <c r="P578" s="113"/>
      <c r="Q578" s="113"/>
      <c r="R578" s="113"/>
      <c r="S578" s="113"/>
      <c r="T578" s="113"/>
      <c r="U578" s="113"/>
      <c r="V578" s="113"/>
      <c r="W578" s="113"/>
      <c r="X578" s="113"/>
      <c r="Y578" s="113"/>
      <c r="Z578" s="113"/>
    </row>
    <row r="579">
      <c r="A579" s="113"/>
      <c r="B579" s="113"/>
      <c r="C579" s="113"/>
      <c r="D579" s="113"/>
      <c r="E579" s="113"/>
      <c r="F579" s="113"/>
      <c r="G579" s="113"/>
      <c r="H579" s="113"/>
      <c r="I579" s="113"/>
      <c r="J579" s="113"/>
      <c r="K579" s="113"/>
      <c r="L579" s="113"/>
      <c r="M579" s="113"/>
      <c r="N579" s="113"/>
      <c r="O579" s="113"/>
      <c r="P579" s="113"/>
      <c r="Q579" s="113"/>
      <c r="R579" s="113"/>
      <c r="S579" s="113"/>
      <c r="T579" s="113"/>
      <c r="U579" s="113"/>
      <c r="V579" s="113"/>
      <c r="W579" s="113"/>
      <c r="X579" s="113"/>
      <c r="Y579" s="113"/>
      <c r="Z579" s="113"/>
    </row>
    <row r="580">
      <c r="A580" s="113"/>
      <c r="B580" s="113"/>
      <c r="C580" s="113"/>
      <c r="D580" s="113"/>
      <c r="E580" s="113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  <c r="P580" s="113"/>
      <c r="Q580" s="113"/>
      <c r="R580" s="113"/>
      <c r="S580" s="113"/>
      <c r="T580" s="113"/>
      <c r="U580" s="113"/>
      <c r="V580" s="113"/>
      <c r="W580" s="113"/>
      <c r="X580" s="113"/>
      <c r="Y580" s="113"/>
      <c r="Z580" s="113"/>
    </row>
    <row r="581">
      <c r="A581" s="113"/>
      <c r="B581" s="113"/>
      <c r="C581" s="113"/>
      <c r="D581" s="113"/>
      <c r="E581" s="113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  <c r="P581" s="113"/>
      <c r="Q581" s="113"/>
      <c r="R581" s="113"/>
      <c r="S581" s="113"/>
      <c r="T581" s="113"/>
      <c r="U581" s="113"/>
      <c r="V581" s="113"/>
      <c r="W581" s="113"/>
      <c r="X581" s="113"/>
      <c r="Y581" s="113"/>
      <c r="Z581" s="113"/>
    </row>
    <row r="582">
      <c r="A582" s="113"/>
      <c r="B582" s="113"/>
      <c r="C582" s="113"/>
      <c r="D582" s="113"/>
      <c r="E582" s="113"/>
      <c r="F582" s="113"/>
      <c r="G582" s="113"/>
      <c r="H582" s="113"/>
      <c r="I582" s="113"/>
      <c r="J582" s="113"/>
      <c r="K582" s="113"/>
      <c r="L582" s="113"/>
      <c r="M582" s="113"/>
      <c r="N582" s="113"/>
      <c r="O582" s="113"/>
      <c r="P582" s="113"/>
      <c r="Q582" s="113"/>
      <c r="R582" s="113"/>
      <c r="S582" s="113"/>
      <c r="T582" s="113"/>
      <c r="U582" s="113"/>
      <c r="V582" s="113"/>
      <c r="W582" s="113"/>
      <c r="X582" s="113"/>
      <c r="Y582" s="113"/>
      <c r="Z582" s="113"/>
    </row>
    <row r="583">
      <c r="A583" s="113"/>
      <c r="B583" s="113"/>
      <c r="C583" s="113"/>
      <c r="D583" s="113"/>
      <c r="E583" s="113"/>
      <c r="F583" s="113"/>
      <c r="G583" s="113"/>
      <c r="H583" s="113"/>
      <c r="I583" s="113"/>
      <c r="J583" s="113"/>
      <c r="K583" s="113"/>
      <c r="L583" s="113"/>
      <c r="M583" s="113"/>
      <c r="N583" s="113"/>
      <c r="O583" s="113"/>
      <c r="P583" s="113"/>
      <c r="Q583" s="113"/>
      <c r="R583" s="113"/>
      <c r="S583" s="113"/>
      <c r="T583" s="113"/>
      <c r="U583" s="113"/>
      <c r="V583" s="113"/>
      <c r="W583" s="113"/>
      <c r="X583" s="113"/>
      <c r="Y583" s="113"/>
      <c r="Z583" s="113"/>
    </row>
    <row r="584">
      <c r="A584" s="113"/>
      <c r="B584" s="113"/>
      <c r="C584" s="113"/>
      <c r="D584" s="113"/>
      <c r="E584" s="113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  <c r="R584" s="113"/>
      <c r="S584" s="113"/>
      <c r="T584" s="113"/>
      <c r="U584" s="113"/>
      <c r="V584" s="113"/>
      <c r="W584" s="113"/>
      <c r="X584" s="113"/>
      <c r="Y584" s="113"/>
      <c r="Z584" s="113"/>
    </row>
    <row r="585">
      <c r="A585" s="113"/>
      <c r="B585" s="113"/>
      <c r="C585" s="113"/>
      <c r="D585" s="113"/>
      <c r="E585" s="113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  <c r="R585" s="113"/>
      <c r="S585" s="113"/>
      <c r="T585" s="113"/>
      <c r="U585" s="113"/>
      <c r="V585" s="113"/>
      <c r="W585" s="113"/>
      <c r="X585" s="113"/>
      <c r="Y585" s="113"/>
      <c r="Z585" s="113"/>
    </row>
    <row r="586">
      <c r="A586" s="113"/>
      <c r="B586" s="113"/>
      <c r="C586" s="113"/>
      <c r="D586" s="113"/>
      <c r="E586" s="113"/>
      <c r="F586" s="113"/>
      <c r="G586" s="113"/>
      <c r="H586" s="113"/>
      <c r="I586" s="113"/>
      <c r="J586" s="113"/>
      <c r="K586" s="113"/>
      <c r="L586" s="113"/>
      <c r="M586" s="113"/>
      <c r="N586" s="113"/>
      <c r="O586" s="113"/>
      <c r="P586" s="113"/>
      <c r="Q586" s="113"/>
      <c r="R586" s="113"/>
      <c r="S586" s="113"/>
      <c r="T586" s="113"/>
      <c r="U586" s="113"/>
      <c r="V586" s="113"/>
      <c r="W586" s="113"/>
      <c r="X586" s="113"/>
      <c r="Y586" s="113"/>
      <c r="Z586" s="113"/>
    </row>
    <row r="587">
      <c r="A587" s="113"/>
      <c r="B587" s="113"/>
      <c r="C587" s="113"/>
      <c r="D587" s="113"/>
      <c r="E587" s="113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  <c r="R587" s="113"/>
      <c r="S587" s="113"/>
      <c r="T587" s="113"/>
      <c r="U587" s="113"/>
      <c r="V587" s="113"/>
      <c r="W587" s="113"/>
      <c r="X587" s="113"/>
      <c r="Y587" s="113"/>
      <c r="Z587" s="113"/>
    </row>
    <row r="588">
      <c r="A588" s="113"/>
      <c r="B588" s="113"/>
      <c r="C588" s="113"/>
      <c r="D588" s="113"/>
      <c r="E588" s="113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/>
      <c r="W588" s="113"/>
      <c r="X588" s="113"/>
      <c r="Y588" s="113"/>
      <c r="Z588" s="113"/>
    </row>
    <row r="589">
      <c r="A589" s="113"/>
      <c r="B589" s="113"/>
      <c r="C589" s="113"/>
      <c r="D589" s="113"/>
      <c r="E589" s="113"/>
      <c r="F589" s="113"/>
      <c r="G589" s="113"/>
      <c r="H589" s="113"/>
      <c r="I589" s="113"/>
      <c r="J589" s="113"/>
      <c r="K589" s="113"/>
      <c r="L589" s="113"/>
      <c r="M589" s="113"/>
      <c r="N589" s="113"/>
      <c r="O589" s="113"/>
      <c r="P589" s="113"/>
      <c r="Q589" s="113"/>
      <c r="R589" s="113"/>
      <c r="S589" s="113"/>
      <c r="T589" s="113"/>
      <c r="U589" s="113"/>
      <c r="V589" s="113"/>
      <c r="W589" s="113"/>
      <c r="X589" s="113"/>
      <c r="Y589" s="113"/>
      <c r="Z589" s="113"/>
    </row>
    <row r="590">
      <c r="A590" s="113"/>
      <c r="B590" s="113"/>
      <c r="C590" s="113"/>
      <c r="D590" s="113"/>
      <c r="E590" s="113"/>
      <c r="F590" s="113"/>
      <c r="G590" s="113"/>
      <c r="H590" s="113"/>
      <c r="I590" s="113"/>
      <c r="J590" s="113"/>
      <c r="K590" s="113"/>
      <c r="L590" s="113"/>
      <c r="M590" s="113"/>
      <c r="N590" s="113"/>
      <c r="O590" s="113"/>
      <c r="P590" s="113"/>
      <c r="Q590" s="113"/>
      <c r="R590" s="113"/>
      <c r="S590" s="113"/>
      <c r="T590" s="113"/>
      <c r="U590" s="113"/>
      <c r="V590" s="113"/>
      <c r="W590" s="113"/>
      <c r="X590" s="113"/>
      <c r="Y590" s="113"/>
      <c r="Z590" s="113"/>
    </row>
    <row r="591">
      <c r="A591" s="113"/>
      <c r="B591" s="113"/>
      <c r="C591" s="113"/>
      <c r="D591" s="113"/>
      <c r="E591" s="113"/>
      <c r="F591" s="113"/>
      <c r="G591" s="113"/>
      <c r="H591" s="113"/>
      <c r="I591" s="113"/>
      <c r="J591" s="113"/>
      <c r="K591" s="113"/>
      <c r="L591" s="113"/>
      <c r="M591" s="113"/>
      <c r="N591" s="113"/>
      <c r="O591" s="113"/>
      <c r="P591" s="113"/>
      <c r="Q591" s="113"/>
      <c r="R591" s="113"/>
      <c r="S591" s="113"/>
      <c r="T591" s="113"/>
      <c r="U591" s="113"/>
      <c r="V591" s="113"/>
      <c r="W591" s="113"/>
      <c r="X591" s="113"/>
      <c r="Y591" s="113"/>
      <c r="Z591" s="113"/>
    </row>
    <row r="592">
      <c r="A592" s="113"/>
      <c r="B592" s="113"/>
      <c r="C592" s="113"/>
      <c r="D592" s="113"/>
      <c r="E592" s="113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  <c r="R592" s="113"/>
      <c r="S592" s="113"/>
      <c r="T592" s="113"/>
      <c r="U592" s="113"/>
      <c r="V592" s="113"/>
      <c r="W592" s="113"/>
      <c r="X592" s="113"/>
      <c r="Y592" s="113"/>
      <c r="Z592" s="113"/>
    </row>
    <row r="593">
      <c r="A593" s="113"/>
      <c r="B593" s="113"/>
      <c r="C593" s="113"/>
      <c r="D593" s="113"/>
      <c r="E593" s="113"/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  <c r="P593" s="113"/>
      <c r="Q593" s="113"/>
      <c r="R593" s="113"/>
      <c r="S593" s="113"/>
      <c r="T593" s="113"/>
      <c r="U593" s="113"/>
      <c r="V593" s="113"/>
      <c r="W593" s="113"/>
      <c r="X593" s="113"/>
      <c r="Y593" s="113"/>
      <c r="Z593" s="113"/>
    </row>
    <row r="594">
      <c r="A594" s="113"/>
      <c r="B594" s="113"/>
      <c r="C594" s="113"/>
      <c r="D594" s="113"/>
      <c r="E594" s="113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  <c r="P594" s="113"/>
      <c r="Q594" s="113"/>
      <c r="R594" s="113"/>
      <c r="S594" s="113"/>
      <c r="T594" s="113"/>
      <c r="U594" s="113"/>
      <c r="V594" s="113"/>
      <c r="W594" s="113"/>
      <c r="X594" s="113"/>
      <c r="Y594" s="113"/>
      <c r="Z594" s="113"/>
    </row>
    <row r="595">
      <c r="A595" s="113"/>
      <c r="B595" s="113"/>
      <c r="C595" s="113"/>
      <c r="D595" s="113"/>
      <c r="E595" s="113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  <c r="R595" s="113"/>
      <c r="S595" s="113"/>
      <c r="T595" s="113"/>
      <c r="U595" s="113"/>
      <c r="V595" s="113"/>
      <c r="W595" s="113"/>
      <c r="X595" s="113"/>
      <c r="Y595" s="113"/>
      <c r="Z595" s="113"/>
    </row>
    <row r="596">
      <c r="A596" s="113"/>
      <c r="B596" s="113"/>
      <c r="C596" s="113"/>
      <c r="D596" s="113"/>
      <c r="E596" s="113"/>
      <c r="F596" s="113"/>
      <c r="G596" s="113"/>
      <c r="H596" s="113"/>
      <c r="I596" s="113"/>
      <c r="J596" s="113"/>
      <c r="K596" s="113"/>
      <c r="L596" s="113"/>
      <c r="M596" s="113"/>
      <c r="N596" s="113"/>
      <c r="O596" s="113"/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3"/>
    </row>
    <row r="597">
      <c r="A597" s="113"/>
      <c r="B597" s="113"/>
      <c r="C597" s="113"/>
      <c r="D597" s="113"/>
      <c r="E597" s="113"/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  <c r="P597" s="113"/>
      <c r="Q597" s="113"/>
      <c r="R597" s="113"/>
      <c r="S597" s="113"/>
      <c r="T597" s="113"/>
      <c r="U597" s="113"/>
      <c r="V597" s="113"/>
      <c r="W597" s="113"/>
      <c r="X597" s="113"/>
      <c r="Y597" s="113"/>
      <c r="Z597" s="113"/>
    </row>
    <row r="598">
      <c r="A598" s="113"/>
      <c r="B598" s="113"/>
      <c r="C598" s="113"/>
      <c r="D598" s="113"/>
      <c r="E598" s="113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  <c r="R598" s="113"/>
      <c r="S598" s="113"/>
      <c r="T598" s="113"/>
      <c r="U598" s="113"/>
      <c r="V598" s="113"/>
      <c r="W598" s="113"/>
      <c r="X598" s="113"/>
      <c r="Y598" s="113"/>
      <c r="Z598" s="113"/>
    </row>
    <row r="599">
      <c r="A599" s="113"/>
      <c r="B599" s="113"/>
      <c r="C599" s="113"/>
      <c r="D599" s="113"/>
      <c r="E599" s="113"/>
      <c r="F599" s="113"/>
      <c r="G599" s="113"/>
      <c r="H599" s="113"/>
      <c r="I599" s="113"/>
      <c r="J599" s="113"/>
      <c r="K599" s="113"/>
      <c r="L599" s="113"/>
      <c r="M599" s="113"/>
      <c r="N599" s="113"/>
      <c r="O599" s="113"/>
      <c r="P599" s="113"/>
      <c r="Q599" s="113"/>
      <c r="R599" s="113"/>
      <c r="S599" s="113"/>
      <c r="T599" s="113"/>
      <c r="U599" s="113"/>
      <c r="V599" s="113"/>
      <c r="W599" s="113"/>
      <c r="X599" s="113"/>
      <c r="Y599" s="113"/>
      <c r="Z599" s="113"/>
    </row>
    <row r="600">
      <c r="A600" s="113"/>
      <c r="B600" s="113"/>
      <c r="C600" s="113"/>
      <c r="D600" s="113"/>
      <c r="E600" s="113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  <c r="R600" s="113"/>
      <c r="S600" s="113"/>
      <c r="T600" s="113"/>
      <c r="U600" s="113"/>
      <c r="V600" s="113"/>
      <c r="W600" s="113"/>
      <c r="X600" s="113"/>
      <c r="Y600" s="113"/>
      <c r="Z600" s="113"/>
    </row>
    <row r="601">
      <c r="A601" s="113"/>
      <c r="B601" s="113"/>
      <c r="C601" s="113"/>
      <c r="D601" s="113"/>
      <c r="E601" s="113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/>
      <c r="W601" s="113"/>
      <c r="X601" s="113"/>
      <c r="Y601" s="113"/>
      <c r="Z601" s="113"/>
    </row>
    <row r="602">
      <c r="A602" s="113"/>
      <c r="B602" s="113"/>
      <c r="C602" s="113"/>
      <c r="D602" s="113"/>
      <c r="E602" s="113"/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  <c r="P602" s="113"/>
      <c r="Q602" s="113"/>
      <c r="R602" s="113"/>
      <c r="S602" s="113"/>
      <c r="T602" s="113"/>
      <c r="U602" s="113"/>
      <c r="V602" s="113"/>
      <c r="W602" s="113"/>
      <c r="X602" s="113"/>
      <c r="Y602" s="113"/>
      <c r="Z602" s="113"/>
    </row>
    <row r="603">
      <c r="A603" s="113"/>
      <c r="B603" s="113"/>
      <c r="C603" s="113"/>
      <c r="D603" s="113"/>
      <c r="E603" s="113"/>
      <c r="F603" s="113"/>
      <c r="G603" s="113"/>
      <c r="H603" s="113"/>
      <c r="I603" s="113"/>
      <c r="J603" s="113"/>
      <c r="K603" s="113"/>
      <c r="L603" s="113"/>
      <c r="M603" s="113"/>
      <c r="N603" s="113"/>
      <c r="O603" s="113"/>
      <c r="P603" s="113"/>
      <c r="Q603" s="113"/>
      <c r="R603" s="113"/>
      <c r="S603" s="113"/>
      <c r="T603" s="113"/>
      <c r="U603" s="113"/>
      <c r="V603" s="113"/>
      <c r="W603" s="113"/>
      <c r="X603" s="113"/>
      <c r="Y603" s="113"/>
      <c r="Z603" s="113"/>
    </row>
    <row r="604">
      <c r="A604" s="113"/>
      <c r="B604" s="113"/>
      <c r="C604" s="113"/>
      <c r="D604" s="113"/>
      <c r="E604" s="113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  <c r="R604" s="113"/>
      <c r="S604" s="113"/>
      <c r="T604" s="113"/>
      <c r="U604" s="113"/>
      <c r="V604" s="113"/>
      <c r="W604" s="113"/>
      <c r="X604" s="113"/>
      <c r="Y604" s="113"/>
      <c r="Z604" s="113"/>
    </row>
    <row r="605">
      <c r="A605" s="113"/>
      <c r="B605" s="113"/>
      <c r="C605" s="113"/>
      <c r="D605" s="113"/>
      <c r="E605" s="113"/>
      <c r="F605" s="113"/>
      <c r="G605" s="113"/>
      <c r="H605" s="113"/>
      <c r="I605" s="113"/>
      <c r="J605" s="113"/>
      <c r="K605" s="113"/>
      <c r="L605" s="113"/>
      <c r="M605" s="113"/>
      <c r="N605" s="113"/>
      <c r="O605" s="113"/>
      <c r="P605" s="113"/>
      <c r="Q605" s="113"/>
      <c r="R605" s="113"/>
      <c r="S605" s="113"/>
      <c r="T605" s="113"/>
      <c r="U605" s="113"/>
      <c r="V605" s="113"/>
      <c r="W605" s="113"/>
      <c r="X605" s="113"/>
      <c r="Y605" s="113"/>
      <c r="Z605" s="113"/>
    </row>
    <row r="606">
      <c r="A606" s="113"/>
      <c r="B606" s="113"/>
      <c r="C606" s="113"/>
      <c r="D606" s="113"/>
      <c r="E606" s="113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  <c r="X606" s="113"/>
      <c r="Y606" s="113"/>
      <c r="Z606" s="113"/>
    </row>
    <row r="607">
      <c r="A607" s="113"/>
      <c r="B607" s="113"/>
      <c r="C607" s="113"/>
      <c r="D607" s="113"/>
      <c r="E607" s="113"/>
      <c r="F607" s="113"/>
      <c r="G607" s="113"/>
      <c r="H607" s="113"/>
      <c r="I607" s="113"/>
      <c r="J607" s="113"/>
      <c r="K607" s="113"/>
      <c r="L607" s="113"/>
      <c r="M607" s="113"/>
      <c r="N607" s="113"/>
      <c r="O607" s="113"/>
      <c r="P607" s="113"/>
      <c r="Q607" s="113"/>
      <c r="R607" s="113"/>
      <c r="S607" s="113"/>
      <c r="T607" s="113"/>
      <c r="U607" s="113"/>
      <c r="V607" s="113"/>
      <c r="W607" s="113"/>
      <c r="X607" s="113"/>
      <c r="Y607" s="113"/>
      <c r="Z607" s="113"/>
    </row>
    <row r="608">
      <c r="A608" s="113"/>
      <c r="B608" s="113"/>
      <c r="C608" s="113"/>
      <c r="D608" s="113"/>
      <c r="E608" s="113"/>
      <c r="F608" s="113"/>
      <c r="G608" s="113"/>
      <c r="H608" s="113"/>
      <c r="I608" s="113"/>
      <c r="J608" s="113"/>
      <c r="K608" s="113"/>
      <c r="L608" s="113"/>
      <c r="M608" s="113"/>
      <c r="N608" s="113"/>
      <c r="O608" s="113"/>
      <c r="P608" s="113"/>
      <c r="Q608" s="113"/>
      <c r="R608" s="113"/>
      <c r="S608" s="113"/>
      <c r="T608" s="113"/>
      <c r="U608" s="113"/>
      <c r="V608" s="113"/>
      <c r="W608" s="113"/>
      <c r="X608" s="113"/>
      <c r="Y608" s="113"/>
      <c r="Z608" s="113"/>
    </row>
    <row r="609">
      <c r="A609" s="113"/>
      <c r="B609" s="113"/>
      <c r="C609" s="113"/>
      <c r="D609" s="113"/>
      <c r="E609" s="113"/>
      <c r="F609" s="113"/>
      <c r="G609" s="113"/>
      <c r="H609" s="113"/>
      <c r="I609" s="113"/>
      <c r="J609" s="113"/>
      <c r="K609" s="113"/>
      <c r="L609" s="113"/>
      <c r="M609" s="113"/>
      <c r="N609" s="113"/>
      <c r="O609" s="113"/>
      <c r="P609" s="113"/>
      <c r="Q609" s="113"/>
      <c r="R609" s="113"/>
      <c r="S609" s="113"/>
      <c r="T609" s="113"/>
      <c r="U609" s="113"/>
      <c r="V609" s="113"/>
      <c r="W609" s="113"/>
      <c r="X609" s="113"/>
      <c r="Y609" s="113"/>
      <c r="Z609" s="113"/>
    </row>
    <row r="610">
      <c r="A610" s="113"/>
      <c r="B610" s="113"/>
      <c r="C610" s="113"/>
      <c r="D610" s="113"/>
      <c r="E610" s="113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  <c r="P610" s="113"/>
      <c r="Q610" s="113"/>
      <c r="R610" s="113"/>
      <c r="S610" s="113"/>
      <c r="T610" s="113"/>
      <c r="U610" s="113"/>
      <c r="V610" s="113"/>
      <c r="W610" s="113"/>
      <c r="X610" s="113"/>
      <c r="Y610" s="113"/>
      <c r="Z610" s="113"/>
    </row>
    <row r="611">
      <c r="A611" s="113"/>
      <c r="B611" s="113"/>
      <c r="C611" s="113"/>
      <c r="D611" s="113"/>
      <c r="E611" s="113"/>
      <c r="F611" s="113"/>
      <c r="G611" s="113"/>
      <c r="H611" s="113"/>
      <c r="I611" s="113"/>
      <c r="J611" s="113"/>
      <c r="K611" s="113"/>
      <c r="L611" s="113"/>
      <c r="M611" s="113"/>
      <c r="N611" s="113"/>
      <c r="O611" s="113"/>
      <c r="P611" s="113"/>
      <c r="Q611" s="113"/>
      <c r="R611" s="113"/>
      <c r="S611" s="113"/>
      <c r="T611" s="113"/>
      <c r="U611" s="113"/>
      <c r="V611" s="113"/>
      <c r="W611" s="113"/>
      <c r="X611" s="113"/>
      <c r="Y611" s="113"/>
      <c r="Z611" s="113"/>
    </row>
    <row r="612">
      <c r="A612" s="113"/>
      <c r="B612" s="113"/>
      <c r="C612" s="113"/>
      <c r="D612" s="113"/>
      <c r="E612" s="113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  <c r="P612" s="113"/>
      <c r="Q612" s="113"/>
      <c r="R612" s="113"/>
      <c r="S612" s="113"/>
      <c r="T612" s="113"/>
      <c r="U612" s="113"/>
      <c r="V612" s="113"/>
      <c r="W612" s="113"/>
      <c r="X612" s="113"/>
      <c r="Y612" s="113"/>
      <c r="Z612" s="113"/>
    </row>
    <row r="613">
      <c r="A613" s="113"/>
      <c r="B613" s="113"/>
      <c r="C613" s="113"/>
      <c r="D613" s="113"/>
      <c r="E613" s="113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  <c r="U613" s="113"/>
      <c r="V613" s="113"/>
      <c r="W613" s="113"/>
      <c r="X613" s="113"/>
      <c r="Y613" s="113"/>
      <c r="Z613" s="113"/>
    </row>
    <row r="614">
      <c r="A614" s="113"/>
      <c r="B614" s="113"/>
      <c r="C614" s="113"/>
      <c r="D614" s="113"/>
      <c r="E614" s="113"/>
      <c r="F614" s="113"/>
      <c r="G614" s="113"/>
      <c r="H614" s="113"/>
      <c r="I614" s="113"/>
      <c r="J614" s="113"/>
      <c r="K614" s="113"/>
      <c r="L614" s="113"/>
      <c r="M614" s="113"/>
      <c r="N614" s="113"/>
      <c r="O614" s="113"/>
      <c r="P614" s="113"/>
      <c r="Q614" s="113"/>
      <c r="R614" s="113"/>
      <c r="S614" s="113"/>
      <c r="T614" s="113"/>
      <c r="U614" s="113"/>
      <c r="V614" s="113"/>
      <c r="W614" s="113"/>
      <c r="X614" s="113"/>
      <c r="Y614" s="113"/>
      <c r="Z614" s="113"/>
    </row>
    <row r="615">
      <c r="A615" s="113"/>
      <c r="B615" s="113"/>
      <c r="C615" s="113"/>
      <c r="D615" s="113"/>
      <c r="E615" s="113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  <c r="R615" s="113"/>
      <c r="S615" s="113"/>
      <c r="T615" s="113"/>
      <c r="U615" s="113"/>
      <c r="V615" s="113"/>
      <c r="W615" s="113"/>
      <c r="X615" s="113"/>
      <c r="Y615" s="113"/>
      <c r="Z615" s="113"/>
    </row>
    <row r="616">
      <c r="A616" s="113"/>
      <c r="B616" s="113"/>
      <c r="C616" s="113"/>
      <c r="D616" s="113"/>
      <c r="E616" s="113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  <c r="P616" s="113"/>
      <c r="Q616" s="113"/>
      <c r="R616" s="113"/>
      <c r="S616" s="113"/>
      <c r="T616" s="113"/>
      <c r="U616" s="113"/>
      <c r="V616" s="113"/>
      <c r="W616" s="113"/>
      <c r="X616" s="113"/>
      <c r="Y616" s="113"/>
      <c r="Z616" s="113"/>
    </row>
    <row r="617">
      <c r="A617" s="113"/>
      <c r="B617" s="113"/>
      <c r="C617" s="113"/>
      <c r="D617" s="113"/>
      <c r="E617" s="113"/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  <c r="U617" s="113"/>
      <c r="V617" s="113"/>
      <c r="W617" s="113"/>
      <c r="X617" s="113"/>
      <c r="Y617" s="113"/>
      <c r="Z617" s="113"/>
    </row>
    <row r="618">
      <c r="A618" s="113"/>
      <c r="B618" s="113"/>
      <c r="C618" s="113"/>
      <c r="D618" s="113"/>
      <c r="E618" s="113"/>
      <c r="F618" s="113"/>
      <c r="G618" s="113"/>
      <c r="H618" s="113"/>
      <c r="I618" s="113"/>
      <c r="J618" s="113"/>
      <c r="K618" s="113"/>
      <c r="L618" s="113"/>
      <c r="M618" s="113"/>
      <c r="N618" s="113"/>
      <c r="O618" s="113"/>
      <c r="P618" s="113"/>
      <c r="Q618" s="113"/>
      <c r="R618" s="113"/>
      <c r="S618" s="113"/>
      <c r="T618" s="113"/>
      <c r="U618" s="113"/>
      <c r="V618" s="113"/>
      <c r="W618" s="113"/>
      <c r="X618" s="113"/>
      <c r="Y618" s="113"/>
      <c r="Z618" s="113"/>
    </row>
    <row r="619">
      <c r="A619" s="113"/>
      <c r="B619" s="113"/>
      <c r="C619" s="113"/>
      <c r="D619" s="113"/>
      <c r="E619" s="113"/>
      <c r="F619" s="113"/>
      <c r="G619" s="113"/>
      <c r="H619" s="113"/>
      <c r="I619" s="113"/>
      <c r="J619" s="113"/>
      <c r="K619" s="113"/>
      <c r="L619" s="113"/>
      <c r="M619" s="113"/>
      <c r="N619" s="113"/>
      <c r="O619" s="113"/>
      <c r="P619" s="113"/>
      <c r="Q619" s="113"/>
      <c r="R619" s="113"/>
      <c r="S619" s="113"/>
      <c r="T619" s="113"/>
      <c r="U619" s="113"/>
      <c r="V619" s="113"/>
      <c r="W619" s="113"/>
      <c r="X619" s="113"/>
      <c r="Y619" s="113"/>
      <c r="Z619" s="113"/>
    </row>
    <row r="620">
      <c r="A620" s="113"/>
      <c r="B620" s="113"/>
      <c r="C620" s="113"/>
      <c r="D620" s="113"/>
      <c r="E620" s="113"/>
      <c r="F620" s="113"/>
      <c r="G620" s="113"/>
      <c r="H620" s="113"/>
      <c r="I620" s="113"/>
      <c r="J620" s="113"/>
      <c r="K620" s="113"/>
      <c r="L620" s="113"/>
      <c r="M620" s="113"/>
      <c r="N620" s="113"/>
      <c r="O620" s="113"/>
      <c r="P620" s="113"/>
      <c r="Q620" s="113"/>
      <c r="R620" s="113"/>
      <c r="S620" s="113"/>
      <c r="T620" s="113"/>
      <c r="U620" s="113"/>
      <c r="V620" s="113"/>
      <c r="W620" s="113"/>
      <c r="X620" s="113"/>
      <c r="Y620" s="113"/>
      <c r="Z620" s="113"/>
    </row>
    <row r="621">
      <c r="A621" s="113"/>
      <c r="B621" s="113"/>
      <c r="C621" s="113"/>
      <c r="D621" s="113"/>
      <c r="E621" s="113"/>
      <c r="F621" s="113"/>
      <c r="G621" s="113"/>
      <c r="H621" s="113"/>
      <c r="I621" s="113"/>
      <c r="J621" s="113"/>
      <c r="K621" s="113"/>
      <c r="L621" s="113"/>
      <c r="M621" s="113"/>
      <c r="N621" s="113"/>
      <c r="O621" s="113"/>
      <c r="P621" s="113"/>
      <c r="Q621" s="113"/>
      <c r="R621" s="113"/>
      <c r="S621" s="113"/>
      <c r="T621" s="113"/>
      <c r="U621" s="113"/>
      <c r="V621" s="113"/>
      <c r="W621" s="113"/>
      <c r="X621" s="113"/>
      <c r="Y621" s="113"/>
      <c r="Z621" s="113"/>
    </row>
    <row r="622">
      <c r="A622" s="113"/>
      <c r="B622" s="113"/>
      <c r="C622" s="113"/>
      <c r="D622" s="113"/>
      <c r="E622" s="113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  <c r="R622" s="113"/>
      <c r="S622" s="113"/>
      <c r="T622" s="113"/>
      <c r="U622" s="113"/>
      <c r="V622" s="113"/>
      <c r="W622" s="113"/>
      <c r="X622" s="113"/>
      <c r="Y622" s="113"/>
      <c r="Z622" s="113"/>
    </row>
    <row r="623">
      <c r="A623" s="113"/>
      <c r="B623" s="113"/>
      <c r="C623" s="113"/>
      <c r="D623" s="113"/>
      <c r="E623" s="113"/>
      <c r="F623" s="113"/>
      <c r="G623" s="113"/>
      <c r="H623" s="113"/>
      <c r="I623" s="113"/>
      <c r="J623" s="113"/>
      <c r="K623" s="113"/>
      <c r="L623" s="113"/>
      <c r="M623" s="113"/>
      <c r="N623" s="113"/>
      <c r="O623" s="113"/>
      <c r="P623" s="113"/>
      <c r="Q623" s="113"/>
      <c r="R623" s="113"/>
      <c r="S623" s="113"/>
      <c r="T623" s="113"/>
      <c r="U623" s="113"/>
      <c r="V623" s="113"/>
      <c r="W623" s="113"/>
      <c r="X623" s="113"/>
      <c r="Y623" s="113"/>
      <c r="Z623" s="113"/>
    </row>
    <row r="624">
      <c r="A624" s="113"/>
      <c r="B624" s="113"/>
      <c r="C624" s="113"/>
      <c r="D624" s="113"/>
      <c r="E624" s="113"/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  <c r="P624" s="113"/>
      <c r="Q624" s="113"/>
      <c r="R624" s="113"/>
      <c r="S624" s="113"/>
      <c r="T624" s="113"/>
      <c r="U624" s="113"/>
      <c r="V624" s="113"/>
      <c r="W624" s="113"/>
      <c r="X624" s="113"/>
      <c r="Y624" s="113"/>
      <c r="Z624" s="113"/>
    </row>
    <row r="625">
      <c r="A625" s="113"/>
      <c r="B625" s="113"/>
      <c r="C625" s="113"/>
      <c r="D625" s="113"/>
      <c r="E625" s="113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  <c r="P625" s="113"/>
      <c r="Q625" s="113"/>
      <c r="R625" s="113"/>
      <c r="S625" s="113"/>
      <c r="T625" s="113"/>
      <c r="U625" s="113"/>
      <c r="V625" s="113"/>
      <c r="W625" s="113"/>
      <c r="X625" s="113"/>
      <c r="Y625" s="113"/>
      <c r="Z625" s="113"/>
    </row>
    <row r="626">
      <c r="A626" s="113"/>
      <c r="B626" s="113"/>
      <c r="C626" s="113"/>
      <c r="D626" s="113"/>
      <c r="E626" s="113"/>
      <c r="F626" s="113"/>
      <c r="G626" s="113"/>
      <c r="H626" s="113"/>
      <c r="I626" s="113"/>
      <c r="J626" s="113"/>
      <c r="K626" s="113"/>
      <c r="L626" s="113"/>
      <c r="M626" s="113"/>
      <c r="N626" s="113"/>
      <c r="O626" s="113"/>
      <c r="P626" s="113"/>
      <c r="Q626" s="113"/>
      <c r="R626" s="113"/>
      <c r="S626" s="113"/>
      <c r="T626" s="113"/>
      <c r="U626" s="113"/>
      <c r="V626" s="113"/>
      <c r="W626" s="113"/>
      <c r="X626" s="113"/>
      <c r="Y626" s="113"/>
      <c r="Z626" s="113"/>
    </row>
    <row r="627">
      <c r="A627" s="113"/>
      <c r="B627" s="113"/>
      <c r="C627" s="113"/>
      <c r="D627" s="113"/>
      <c r="E627" s="113"/>
      <c r="F627" s="113"/>
      <c r="G627" s="113"/>
      <c r="H627" s="113"/>
      <c r="I627" s="113"/>
      <c r="J627" s="113"/>
      <c r="K627" s="113"/>
      <c r="L627" s="113"/>
      <c r="M627" s="113"/>
      <c r="N627" s="113"/>
      <c r="O627" s="113"/>
      <c r="P627" s="113"/>
      <c r="Q627" s="113"/>
      <c r="R627" s="113"/>
      <c r="S627" s="113"/>
      <c r="T627" s="113"/>
      <c r="U627" s="113"/>
      <c r="V627" s="113"/>
      <c r="W627" s="113"/>
      <c r="X627" s="113"/>
      <c r="Y627" s="113"/>
      <c r="Z627" s="113"/>
    </row>
    <row r="628">
      <c r="A628" s="113"/>
      <c r="B628" s="113"/>
      <c r="C628" s="113"/>
      <c r="D628" s="113"/>
      <c r="E628" s="113"/>
      <c r="F628" s="113"/>
      <c r="G628" s="113"/>
      <c r="H628" s="113"/>
      <c r="I628" s="113"/>
      <c r="J628" s="113"/>
      <c r="K628" s="113"/>
      <c r="L628" s="113"/>
      <c r="M628" s="113"/>
      <c r="N628" s="113"/>
      <c r="O628" s="113"/>
      <c r="P628" s="113"/>
      <c r="Q628" s="113"/>
      <c r="R628" s="113"/>
      <c r="S628" s="113"/>
      <c r="T628" s="113"/>
      <c r="U628" s="113"/>
      <c r="V628" s="113"/>
      <c r="W628" s="113"/>
      <c r="X628" s="113"/>
      <c r="Y628" s="113"/>
      <c r="Z628" s="113"/>
    </row>
    <row r="629">
      <c r="A629" s="113"/>
      <c r="B629" s="113"/>
      <c r="C629" s="113"/>
      <c r="D629" s="113"/>
      <c r="E629" s="113"/>
      <c r="F629" s="113"/>
      <c r="G629" s="113"/>
      <c r="H629" s="113"/>
      <c r="I629" s="113"/>
      <c r="J629" s="113"/>
      <c r="K629" s="113"/>
      <c r="L629" s="113"/>
      <c r="M629" s="113"/>
      <c r="N629" s="113"/>
      <c r="O629" s="113"/>
      <c r="P629" s="113"/>
      <c r="Q629" s="113"/>
      <c r="R629" s="113"/>
      <c r="S629" s="113"/>
      <c r="T629" s="113"/>
      <c r="U629" s="113"/>
      <c r="V629" s="113"/>
      <c r="W629" s="113"/>
      <c r="X629" s="113"/>
      <c r="Y629" s="113"/>
      <c r="Z629" s="113"/>
    </row>
    <row r="630">
      <c r="A630" s="113"/>
      <c r="B630" s="113"/>
      <c r="C630" s="113"/>
      <c r="D630" s="113"/>
      <c r="E630" s="113"/>
      <c r="F630" s="113"/>
      <c r="G630" s="113"/>
      <c r="H630" s="113"/>
      <c r="I630" s="113"/>
      <c r="J630" s="113"/>
      <c r="K630" s="113"/>
      <c r="L630" s="113"/>
      <c r="M630" s="113"/>
      <c r="N630" s="113"/>
      <c r="O630" s="113"/>
      <c r="P630" s="113"/>
      <c r="Q630" s="113"/>
      <c r="R630" s="113"/>
      <c r="S630" s="113"/>
      <c r="T630" s="113"/>
      <c r="U630" s="113"/>
      <c r="V630" s="113"/>
      <c r="W630" s="113"/>
      <c r="X630" s="113"/>
      <c r="Y630" s="113"/>
      <c r="Z630" s="113"/>
    </row>
    <row r="631">
      <c r="A631" s="113"/>
      <c r="B631" s="113"/>
      <c r="C631" s="113"/>
      <c r="D631" s="113"/>
      <c r="E631" s="113"/>
      <c r="F631" s="113"/>
      <c r="G631" s="113"/>
      <c r="H631" s="113"/>
      <c r="I631" s="113"/>
      <c r="J631" s="113"/>
      <c r="K631" s="113"/>
      <c r="L631" s="113"/>
      <c r="M631" s="113"/>
      <c r="N631" s="113"/>
      <c r="O631" s="113"/>
      <c r="P631" s="113"/>
      <c r="Q631" s="113"/>
      <c r="R631" s="113"/>
      <c r="S631" s="113"/>
      <c r="T631" s="113"/>
      <c r="U631" s="113"/>
      <c r="V631" s="113"/>
      <c r="W631" s="113"/>
      <c r="X631" s="113"/>
      <c r="Y631" s="113"/>
      <c r="Z631" s="113"/>
    </row>
    <row r="632">
      <c r="A632" s="113"/>
      <c r="B632" s="113"/>
      <c r="C632" s="113"/>
      <c r="D632" s="113"/>
      <c r="E632" s="113"/>
      <c r="F632" s="113"/>
      <c r="G632" s="113"/>
      <c r="H632" s="113"/>
      <c r="I632" s="113"/>
      <c r="J632" s="113"/>
      <c r="K632" s="113"/>
      <c r="L632" s="113"/>
      <c r="M632" s="113"/>
      <c r="N632" s="113"/>
      <c r="O632" s="113"/>
      <c r="P632" s="113"/>
      <c r="Q632" s="113"/>
      <c r="R632" s="113"/>
      <c r="S632" s="113"/>
      <c r="T632" s="113"/>
      <c r="U632" s="113"/>
      <c r="V632" s="113"/>
      <c r="W632" s="113"/>
      <c r="X632" s="113"/>
      <c r="Y632" s="113"/>
      <c r="Z632" s="113"/>
    </row>
    <row r="633">
      <c r="A633" s="113"/>
      <c r="B633" s="113"/>
      <c r="C633" s="113"/>
      <c r="D633" s="113"/>
      <c r="E633" s="113"/>
      <c r="F633" s="113"/>
      <c r="G633" s="113"/>
      <c r="H633" s="113"/>
      <c r="I633" s="113"/>
      <c r="J633" s="113"/>
      <c r="K633" s="113"/>
      <c r="L633" s="113"/>
      <c r="M633" s="113"/>
      <c r="N633" s="113"/>
      <c r="O633" s="113"/>
      <c r="P633" s="113"/>
      <c r="Q633" s="113"/>
      <c r="R633" s="113"/>
      <c r="S633" s="113"/>
      <c r="T633" s="113"/>
      <c r="U633" s="113"/>
      <c r="V633" s="113"/>
      <c r="W633" s="113"/>
      <c r="X633" s="113"/>
      <c r="Y633" s="113"/>
      <c r="Z633" s="113"/>
    </row>
    <row r="634">
      <c r="A634" s="113"/>
      <c r="B634" s="113"/>
      <c r="C634" s="113"/>
      <c r="D634" s="113"/>
      <c r="E634" s="113"/>
      <c r="F634" s="113"/>
      <c r="G634" s="113"/>
      <c r="H634" s="113"/>
      <c r="I634" s="113"/>
      <c r="J634" s="113"/>
      <c r="K634" s="113"/>
      <c r="L634" s="113"/>
      <c r="M634" s="113"/>
      <c r="N634" s="113"/>
      <c r="O634" s="113"/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3"/>
    </row>
    <row r="635">
      <c r="A635" s="113"/>
      <c r="B635" s="113"/>
      <c r="C635" s="113"/>
      <c r="D635" s="113"/>
      <c r="E635" s="113"/>
      <c r="F635" s="113"/>
      <c r="G635" s="113"/>
      <c r="H635" s="113"/>
      <c r="I635" s="113"/>
      <c r="J635" s="113"/>
      <c r="K635" s="113"/>
      <c r="L635" s="113"/>
      <c r="M635" s="113"/>
      <c r="N635" s="113"/>
      <c r="O635" s="113"/>
      <c r="P635" s="113"/>
      <c r="Q635" s="113"/>
      <c r="R635" s="113"/>
      <c r="S635" s="113"/>
      <c r="T635" s="113"/>
      <c r="U635" s="113"/>
      <c r="V635" s="113"/>
      <c r="W635" s="113"/>
      <c r="X635" s="113"/>
      <c r="Y635" s="113"/>
      <c r="Z635" s="113"/>
    </row>
    <row r="636">
      <c r="A636" s="113"/>
      <c r="B636" s="113"/>
      <c r="C636" s="113"/>
      <c r="D636" s="113"/>
      <c r="E636" s="113"/>
      <c r="F636" s="113"/>
      <c r="G636" s="113"/>
      <c r="H636" s="113"/>
      <c r="I636" s="113"/>
      <c r="J636" s="113"/>
      <c r="K636" s="113"/>
      <c r="L636" s="113"/>
      <c r="M636" s="113"/>
      <c r="N636" s="113"/>
      <c r="O636" s="113"/>
      <c r="P636" s="113"/>
      <c r="Q636" s="113"/>
      <c r="R636" s="113"/>
      <c r="S636" s="113"/>
      <c r="T636" s="113"/>
      <c r="U636" s="113"/>
      <c r="V636" s="113"/>
      <c r="W636" s="113"/>
      <c r="X636" s="113"/>
      <c r="Y636" s="113"/>
      <c r="Z636" s="113"/>
    </row>
    <row r="637">
      <c r="A637" s="113"/>
      <c r="B637" s="113"/>
      <c r="C637" s="113"/>
      <c r="D637" s="113"/>
      <c r="E637" s="113"/>
      <c r="F637" s="113"/>
      <c r="G637" s="113"/>
      <c r="H637" s="113"/>
      <c r="I637" s="113"/>
      <c r="J637" s="113"/>
      <c r="K637" s="113"/>
      <c r="L637" s="113"/>
      <c r="M637" s="113"/>
      <c r="N637" s="113"/>
      <c r="O637" s="113"/>
      <c r="P637" s="113"/>
      <c r="Q637" s="113"/>
      <c r="R637" s="113"/>
      <c r="S637" s="113"/>
      <c r="T637" s="113"/>
      <c r="U637" s="113"/>
      <c r="V637" s="113"/>
      <c r="W637" s="113"/>
      <c r="X637" s="113"/>
      <c r="Y637" s="113"/>
      <c r="Z637" s="113"/>
    </row>
    <row r="638">
      <c r="A638" s="113"/>
      <c r="B638" s="113"/>
      <c r="C638" s="113"/>
      <c r="D638" s="113"/>
      <c r="E638" s="113"/>
      <c r="F638" s="113"/>
      <c r="G638" s="113"/>
      <c r="H638" s="113"/>
      <c r="I638" s="113"/>
      <c r="J638" s="113"/>
      <c r="K638" s="113"/>
      <c r="L638" s="113"/>
      <c r="M638" s="113"/>
      <c r="N638" s="113"/>
      <c r="O638" s="113"/>
      <c r="P638" s="113"/>
      <c r="Q638" s="113"/>
      <c r="R638" s="113"/>
      <c r="S638" s="113"/>
      <c r="T638" s="113"/>
      <c r="U638" s="113"/>
      <c r="V638" s="113"/>
      <c r="W638" s="113"/>
      <c r="X638" s="113"/>
      <c r="Y638" s="113"/>
      <c r="Z638" s="113"/>
    </row>
    <row r="639">
      <c r="A639" s="113"/>
      <c r="B639" s="113"/>
      <c r="C639" s="113"/>
      <c r="D639" s="113"/>
      <c r="E639" s="113"/>
      <c r="F639" s="113"/>
      <c r="G639" s="113"/>
      <c r="H639" s="113"/>
      <c r="I639" s="113"/>
      <c r="J639" s="113"/>
      <c r="K639" s="113"/>
      <c r="L639" s="113"/>
      <c r="M639" s="113"/>
      <c r="N639" s="113"/>
      <c r="O639" s="113"/>
      <c r="P639" s="113"/>
      <c r="Q639" s="113"/>
      <c r="R639" s="113"/>
      <c r="S639" s="113"/>
      <c r="T639" s="113"/>
      <c r="U639" s="113"/>
      <c r="V639" s="113"/>
      <c r="W639" s="113"/>
      <c r="X639" s="113"/>
      <c r="Y639" s="113"/>
      <c r="Z639" s="113"/>
    </row>
    <row r="640">
      <c r="A640" s="113"/>
      <c r="B640" s="113"/>
      <c r="C640" s="113"/>
      <c r="D640" s="113"/>
      <c r="E640" s="113"/>
      <c r="F640" s="113"/>
      <c r="G640" s="113"/>
      <c r="H640" s="113"/>
      <c r="I640" s="113"/>
      <c r="J640" s="113"/>
      <c r="K640" s="113"/>
      <c r="L640" s="113"/>
      <c r="M640" s="113"/>
      <c r="N640" s="113"/>
      <c r="O640" s="113"/>
      <c r="P640" s="113"/>
      <c r="Q640" s="113"/>
      <c r="R640" s="113"/>
      <c r="S640" s="113"/>
      <c r="T640" s="113"/>
      <c r="U640" s="113"/>
      <c r="V640" s="113"/>
      <c r="W640" s="113"/>
      <c r="X640" s="113"/>
      <c r="Y640" s="113"/>
      <c r="Z640" s="113"/>
    </row>
    <row r="641">
      <c r="A641" s="113"/>
      <c r="B641" s="113"/>
      <c r="C641" s="113"/>
      <c r="D641" s="113"/>
      <c r="E641" s="113"/>
      <c r="F641" s="113"/>
      <c r="G641" s="113"/>
      <c r="H641" s="113"/>
      <c r="I641" s="113"/>
      <c r="J641" s="113"/>
      <c r="K641" s="113"/>
      <c r="L641" s="113"/>
      <c r="M641" s="113"/>
      <c r="N641" s="113"/>
      <c r="O641" s="113"/>
      <c r="P641" s="113"/>
      <c r="Q641" s="113"/>
      <c r="R641" s="113"/>
      <c r="S641" s="113"/>
      <c r="T641" s="113"/>
      <c r="U641" s="113"/>
      <c r="V641" s="113"/>
      <c r="W641" s="113"/>
      <c r="X641" s="113"/>
      <c r="Y641" s="113"/>
      <c r="Z641" s="113"/>
    </row>
    <row r="642">
      <c r="A642" s="113"/>
      <c r="B642" s="113"/>
      <c r="C642" s="113"/>
      <c r="D642" s="113"/>
      <c r="E642" s="113"/>
      <c r="F642" s="113"/>
      <c r="G642" s="113"/>
      <c r="H642" s="113"/>
      <c r="I642" s="113"/>
      <c r="J642" s="113"/>
      <c r="K642" s="113"/>
      <c r="L642" s="113"/>
      <c r="M642" s="113"/>
      <c r="N642" s="113"/>
      <c r="O642" s="113"/>
      <c r="P642" s="113"/>
      <c r="Q642" s="113"/>
      <c r="R642" s="113"/>
      <c r="S642" s="113"/>
      <c r="T642" s="113"/>
      <c r="U642" s="113"/>
      <c r="V642" s="113"/>
      <c r="W642" s="113"/>
      <c r="X642" s="113"/>
      <c r="Y642" s="113"/>
      <c r="Z642" s="113"/>
    </row>
    <row r="643">
      <c r="A643" s="113"/>
      <c r="B643" s="113"/>
      <c r="C643" s="113"/>
      <c r="D643" s="113"/>
      <c r="E643" s="113"/>
      <c r="F643" s="113"/>
      <c r="G643" s="113"/>
      <c r="H643" s="113"/>
      <c r="I643" s="113"/>
      <c r="J643" s="113"/>
      <c r="K643" s="113"/>
      <c r="L643" s="113"/>
      <c r="M643" s="113"/>
      <c r="N643" s="113"/>
      <c r="O643" s="113"/>
      <c r="P643" s="113"/>
      <c r="Q643" s="113"/>
      <c r="R643" s="113"/>
      <c r="S643" s="113"/>
      <c r="T643" s="113"/>
      <c r="U643" s="113"/>
      <c r="V643" s="113"/>
      <c r="W643" s="113"/>
      <c r="X643" s="113"/>
      <c r="Y643" s="113"/>
      <c r="Z643" s="113"/>
    </row>
    <row r="644">
      <c r="A644" s="113"/>
      <c r="B644" s="113"/>
      <c r="C644" s="113"/>
      <c r="D644" s="113"/>
      <c r="E644" s="113"/>
      <c r="F644" s="113"/>
      <c r="G644" s="113"/>
      <c r="H644" s="113"/>
      <c r="I644" s="113"/>
      <c r="J644" s="113"/>
      <c r="K644" s="113"/>
      <c r="L644" s="113"/>
      <c r="M644" s="113"/>
      <c r="N644" s="113"/>
      <c r="O644" s="113"/>
      <c r="P644" s="113"/>
      <c r="Q644" s="113"/>
      <c r="R644" s="113"/>
      <c r="S644" s="113"/>
      <c r="T644" s="113"/>
      <c r="U644" s="113"/>
      <c r="V644" s="113"/>
      <c r="W644" s="113"/>
      <c r="X644" s="113"/>
      <c r="Y644" s="113"/>
      <c r="Z644" s="113"/>
    </row>
    <row r="645">
      <c r="A645" s="113"/>
      <c r="B645" s="113"/>
      <c r="C645" s="113"/>
      <c r="D645" s="113"/>
      <c r="E645" s="113"/>
      <c r="F645" s="113"/>
      <c r="G645" s="113"/>
      <c r="H645" s="113"/>
      <c r="I645" s="113"/>
      <c r="J645" s="113"/>
      <c r="K645" s="113"/>
      <c r="L645" s="113"/>
      <c r="M645" s="113"/>
      <c r="N645" s="113"/>
      <c r="O645" s="113"/>
      <c r="P645" s="113"/>
      <c r="Q645" s="113"/>
      <c r="R645" s="113"/>
      <c r="S645" s="113"/>
      <c r="T645" s="113"/>
      <c r="U645" s="113"/>
      <c r="V645" s="113"/>
      <c r="W645" s="113"/>
      <c r="X645" s="113"/>
      <c r="Y645" s="113"/>
      <c r="Z645" s="113"/>
    </row>
    <row r="646">
      <c r="A646" s="113"/>
      <c r="B646" s="113"/>
      <c r="C646" s="113"/>
      <c r="D646" s="113"/>
      <c r="E646" s="113"/>
      <c r="F646" s="113"/>
      <c r="G646" s="113"/>
      <c r="H646" s="113"/>
      <c r="I646" s="113"/>
      <c r="J646" s="113"/>
      <c r="K646" s="113"/>
      <c r="L646" s="113"/>
      <c r="M646" s="113"/>
      <c r="N646" s="113"/>
      <c r="O646" s="113"/>
      <c r="P646" s="113"/>
      <c r="Q646" s="113"/>
      <c r="R646" s="113"/>
      <c r="S646" s="113"/>
      <c r="T646" s="113"/>
      <c r="U646" s="113"/>
      <c r="V646" s="113"/>
      <c r="W646" s="113"/>
      <c r="X646" s="113"/>
      <c r="Y646" s="113"/>
      <c r="Z646" s="113"/>
    </row>
    <row r="647">
      <c r="A647" s="113"/>
      <c r="B647" s="113"/>
      <c r="C647" s="113"/>
      <c r="D647" s="113"/>
      <c r="E647" s="113"/>
      <c r="F647" s="113"/>
      <c r="G647" s="113"/>
      <c r="H647" s="113"/>
      <c r="I647" s="113"/>
      <c r="J647" s="113"/>
      <c r="K647" s="113"/>
      <c r="L647" s="113"/>
      <c r="M647" s="113"/>
      <c r="N647" s="113"/>
      <c r="O647" s="113"/>
      <c r="P647" s="113"/>
      <c r="Q647" s="113"/>
      <c r="R647" s="113"/>
      <c r="S647" s="113"/>
      <c r="T647" s="113"/>
      <c r="U647" s="113"/>
      <c r="V647" s="113"/>
      <c r="W647" s="113"/>
      <c r="X647" s="113"/>
      <c r="Y647" s="113"/>
      <c r="Z647" s="113"/>
    </row>
    <row r="648">
      <c r="A648" s="113"/>
      <c r="B648" s="113"/>
      <c r="C648" s="113"/>
      <c r="D648" s="113"/>
      <c r="E648" s="113"/>
      <c r="F648" s="113"/>
      <c r="G648" s="113"/>
      <c r="H648" s="113"/>
      <c r="I648" s="113"/>
      <c r="J648" s="113"/>
      <c r="K648" s="113"/>
      <c r="L648" s="113"/>
      <c r="M648" s="113"/>
      <c r="N648" s="113"/>
      <c r="O648" s="113"/>
      <c r="P648" s="113"/>
      <c r="Q648" s="113"/>
      <c r="R648" s="113"/>
      <c r="S648" s="113"/>
      <c r="T648" s="113"/>
      <c r="U648" s="113"/>
      <c r="V648" s="113"/>
      <c r="W648" s="113"/>
      <c r="X648" s="113"/>
      <c r="Y648" s="113"/>
      <c r="Z648" s="113"/>
    </row>
    <row r="649">
      <c r="A649" s="113"/>
      <c r="B649" s="113"/>
      <c r="C649" s="113"/>
      <c r="D649" s="113"/>
      <c r="E649" s="113"/>
      <c r="F649" s="113"/>
      <c r="G649" s="113"/>
      <c r="H649" s="113"/>
      <c r="I649" s="113"/>
      <c r="J649" s="113"/>
      <c r="K649" s="113"/>
      <c r="L649" s="113"/>
      <c r="M649" s="113"/>
      <c r="N649" s="113"/>
      <c r="O649" s="113"/>
      <c r="P649" s="113"/>
      <c r="Q649" s="113"/>
      <c r="R649" s="113"/>
      <c r="S649" s="113"/>
      <c r="T649" s="113"/>
      <c r="U649" s="113"/>
      <c r="V649" s="113"/>
      <c r="W649" s="113"/>
      <c r="X649" s="113"/>
      <c r="Y649" s="113"/>
      <c r="Z649" s="113"/>
    </row>
    <row r="650">
      <c r="A650" s="113"/>
      <c r="B650" s="113"/>
      <c r="C650" s="113"/>
      <c r="D650" s="113"/>
      <c r="E650" s="113"/>
      <c r="F650" s="113"/>
      <c r="G650" s="113"/>
      <c r="H650" s="113"/>
      <c r="I650" s="113"/>
      <c r="J650" s="113"/>
      <c r="K650" s="113"/>
      <c r="L650" s="113"/>
      <c r="M650" s="113"/>
      <c r="N650" s="113"/>
      <c r="O650" s="113"/>
      <c r="P650" s="113"/>
      <c r="Q650" s="113"/>
      <c r="R650" s="113"/>
      <c r="S650" s="113"/>
      <c r="T650" s="113"/>
      <c r="U650" s="113"/>
      <c r="V650" s="113"/>
      <c r="W650" s="113"/>
      <c r="X650" s="113"/>
      <c r="Y650" s="113"/>
      <c r="Z650" s="113"/>
    </row>
    <row r="651">
      <c r="A651" s="113"/>
      <c r="B651" s="113"/>
      <c r="C651" s="113"/>
      <c r="D651" s="113"/>
      <c r="E651" s="113"/>
      <c r="F651" s="113"/>
      <c r="G651" s="113"/>
      <c r="H651" s="113"/>
      <c r="I651" s="113"/>
      <c r="J651" s="113"/>
      <c r="K651" s="113"/>
      <c r="L651" s="113"/>
      <c r="M651" s="113"/>
      <c r="N651" s="113"/>
      <c r="O651" s="113"/>
      <c r="P651" s="113"/>
      <c r="Q651" s="113"/>
      <c r="R651" s="113"/>
      <c r="S651" s="113"/>
      <c r="T651" s="113"/>
      <c r="U651" s="113"/>
      <c r="V651" s="113"/>
      <c r="W651" s="113"/>
      <c r="X651" s="113"/>
      <c r="Y651" s="113"/>
      <c r="Z651" s="113"/>
    </row>
    <row r="652">
      <c r="A652" s="113"/>
      <c r="B652" s="113"/>
      <c r="C652" s="113"/>
      <c r="D652" s="113"/>
      <c r="E652" s="113"/>
      <c r="F652" s="113"/>
      <c r="G652" s="113"/>
      <c r="H652" s="113"/>
      <c r="I652" s="113"/>
      <c r="J652" s="113"/>
      <c r="K652" s="113"/>
      <c r="L652" s="113"/>
      <c r="M652" s="113"/>
      <c r="N652" s="113"/>
      <c r="O652" s="113"/>
      <c r="P652" s="113"/>
      <c r="Q652" s="113"/>
      <c r="R652" s="113"/>
      <c r="S652" s="113"/>
      <c r="T652" s="113"/>
      <c r="U652" s="113"/>
      <c r="V652" s="113"/>
      <c r="W652" s="113"/>
      <c r="X652" s="113"/>
      <c r="Y652" s="113"/>
      <c r="Z652" s="113"/>
    </row>
    <row r="653">
      <c r="A653" s="113"/>
      <c r="B653" s="113"/>
      <c r="C653" s="113"/>
      <c r="D653" s="113"/>
      <c r="E653" s="113"/>
      <c r="F653" s="113"/>
      <c r="G653" s="113"/>
      <c r="H653" s="113"/>
      <c r="I653" s="113"/>
      <c r="J653" s="113"/>
      <c r="K653" s="113"/>
      <c r="L653" s="113"/>
      <c r="M653" s="113"/>
      <c r="N653" s="113"/>
      <c r="O653" s="113"/>
      <c r="P653" s="113"/>
      <c r="Q653" s="113"/>
      <c r="R653" s="113"/>
      <c r="S653" s="113"/>
      <c r="T653" s="113"/>
      <c r="U653" s="113"/>
      <c r="V653" s="113"/>
      <c r="W653" s="113"/>
      <c r="X653" s="113"/>
      <c r="Y653" s="113"/>
      <c r="Z653" s="113"/>
    </row>
    <row r="654">
      <c r="A654" s="113"/>
      <c r="B654" s="113"/>
      <c r="C654" s="113"/>
      <c r="D654" s="113"/>
      <c r="E654" s="113"/>
      <c r="F654" s="113"/>
      <c r="G654" s="113"/>
      <c r="H654" s="113"/>
      <c r="I654" s="113"/>
      <c r="J654" s="113"/>
      <c r="K654" s="113"/>
      <c r="L654" s="113"/>
      <c r="M654" s="113"/>
      <c r="N654" s="113"/>
      <c r="O654" s="113"/>
      <c r="P654" s="113"/>
      <c r="Q654" s="113"/>
      <c r="R654" s="113"/>
      <c r="S654" s="113"/>
      <c r="T654" s="113"/>
      <c r="U654" s="113"/>
      <c r="V654" s="113"/>
      <c r="W654" s="113"/>
      <c r="X654" s="113"/>
      <c r="Y654" s="113"/>
      <c r="Z654" s="113"/>
    </row>
    <row r="655">
      <c r="A655" s="113"/>
      <c r="B655" s="113"/>
      <c r="C655" s="113"/>
      <c r="D655" s="113"/>
      <c r="E655" s="113"/>
      <c r="F655" s="113"/>
      <c r="G655" s="113"/>
      <c r="H655" s="113"/>
      <c r="I655" s="113"/>
      <c r="J655" s="113"/>
      <c r="K655" s="113"/>
      <c r="L655" s="113"/>
      <c r="M655" s="113"/>
      <c r="N655" s="113"/>
      <c r="O655" s="113"/>
      <c r="P655" s="113"/>
      <c r="Q655" s="113"/>
      <c r="R655" s="113"/>
      <c r="S655" s="113"/>
      <c r="T655" s="113"/>
      <c r="U655" s="113"/>
      <c r="V655" s="113"/>
      <c r="W655" s="113"/>
      <c r="X655" s="113"/>
      <c r="Y655" s="113"/>
      <c r="Z655" s="113"/>
    </row>
    <row r="656">
      <c r="A656" s="113"/>
      <c r="B656" s="113"/>
      <c r="C656" s="113"/>
      <c r="D656" s="113"/>
      <c r="E656" s="113"/>
      <c r="F656" s="113"/>
      <c r="G656" s="113"/>
      <c r="H656" s="113"/>
      <c r="I656" s="113"/>
      <c r="J656" s="113"/>
      <c r="K656" s="113"/>
      <c r="L656" s="113"/>
      <c r="M656" s="113"/>
      <c r="N656" s="113"/>
      <c r="O656" s="113"/>
      <c r="P656" s="113"/>
      <c r="Q656" s="113"/>
      <c r="R656" s="113"/>
      <c r="S656" s="113"/>
      <c r="T656" s="113"/>
      <c r="U656" s="113"/>
      <c r="V656" s="113"/>
      <c r="W656" s="113"/>
      <c r="X656" s="113"/>
      <c r="Y656" s="113"/>
      <c r="Z656" s="113"/>
    </row>
    <row r="657">
      <c r="A657" s="113"/>
      <c r="B657" s="113"/>
      <c r="C657" s="113"/>
      <c r="D657" s="113"/>
      <c r="E657" s="113"/>
      <c r="F657" s="113"/>
      <c r="G657" s="113"/>
      <c r="H657" s="113"/>
      <c r="I657" s="113"/>
      <c r="J657" s="113"/>
      <c r="K657" s="113"/>
      <c r="L657" s="113"/>
      <c r="M657" s="113"/>
      <c r="N657" s="113"/>
      <c r="O657" s="113"/>
      <c r="P657" s="113"/>
      <c r="Q657" s="113"/>
      <c r="R657" s="113"/>
      <c r="S657" s="113"/>
      <c r="T657" s="113"/>
      <c r="U657" s="113"/>
      <c r="V657" s="113"/>
      <c r="W657" s="113"/>
      <c r="X657" s="113"/>
      <c r="Y657" s="113"/>
      <c r="Z657" s="113"/>
    </row>
    <row r="658">
      <c r="A658" s="113"/>
      <c r="B658" s="113"/>
      <c r="C658" s="113"/>
      <c r="D658" s="113"/>
      <c r="E658" s="113"/>
      <c r="F658" s="113"/>
      <c r="G658" s="113"/>
      <c r="H658" s="113"/>
      <c r="I658" s="113"/>
      <c r="J658" s="113"/>
      <c r="K658" s="113"/>
      <c r="L658" s="113"/>
      <c r="M658" s="113"/>
      <c r="N658" s="113"/>
      <c r="O658" s="113"/>
      <c r="P658" s="113"/>
      <c r="Q658" s="113"/>
      <c r="R658" s="113"/>
      <c r="S658" s="113"/>
      <c r="T658" s="113"/>
      <c r="U658" s="113"/>
      <c r="V658" s="113"/>
      <c r="W658" s="113"/>
      <c r="X658" s="113"/>
      <c r="Y658" s="113"/>
      <c r="Z658" s="113"/>
    </row>
    <row r="659">
      <c r="A659" s="113"/>
      <c r="B659" s="113"/>
      <c r="C659" s="113"/>
      <c r="D659" s="113"/>
      <c r="E659" s="113"/>
      <c r="F659" s="113"/>
      <c r="G659" s="113"/>
      <c r="H659" s="113"/>
      <c r="I659" s="113"/>
      <c r="J659" s="113"/>
      <c r="K659" s="113"/>
      <c r="L659" s="113"/>
      <c r="M659" s="113"/>
      <c r="N659" s="113"/>
      <c r="O659" s="113"/>
      <c r="P659" s="113"/>
      <c r="Q659" s="113"/>
      <c r="R659" s="113"/>
      <c r="S659" s="113"/>
      <c r="T659" s="113"/>
      <c r="U659" s="113"/>
      <c r="V659" s="113"/>
      <c r="W659" s="113"/>
      <c r="X659" s="113"/>
      <c r="Y659" s="113"/>
      <c r="Z659" s="113"/>
    </row>
    <row r="660">
      <c r="A660" s="113"/>
      <c r="B660" s="113"/>
      <c r="C660" s="113"/>
      <c r="D660" s="113"/>
      <c r="E660" s="113"/>
      <c r="F660" s="113"/>
      <c r="G660" s="113"/>
      <c r="H660" s="113"/>
      <c r="I660" s="113"/>
      <c r="J660" s="113"/>
      <c r="K660" s="113"/>
      <c r="L660" s="113"/>
      <c r="M660" s="113"/>
      <c r="N660" s="113"/>
      <c r="O660" s="113"/>
      <c r="P660" s="113"/>
      <c r="Q660" s="113"/>
      <c r="R660" s="113"/>
      <c r="S660" s="113"/>
      <c r="T660" s="113"/>
      <c r="U660" s="113"/>
      <c r="V660" s="113"/>
      <c r="W660" s="113"/>
      <c r="X660" s="113"/>
      <c r="Y660" s="113"/>
      <c r="Z660" s="113"/>
    </row>
    <row r="661">
      <c r="A661" s="113"/>
      <c r="B661" s="113"/>
      <c r="C661" s="113"/>
      <c r="D661" s="113"/>
      <c r="E661" s="113"/>
      <c r="F661" s="113"/>
      <c r="G661" s="113"/>
      <c r="H661" s="113"/>
      <c r="I661" s="113"/>
      <c r="J661" s="113"/>
      <c r="K661" s="113"/>
      <c r="L661" s="113"/>
      <c r="M661" s="113"/>
      <c r="N661" s="113"/>
      <c r="O661" s="113"/>
      <c r="P661" s="113"/>
      <c r="Q661" s="113"/>
      <c r="R661" s="113"/>
      <c r="S661" s="113"/>
      <c r="T661" s="113"/>
      <c r="U661" s="113"/>
      <c r="V661" s="113"/>
      <c r="W661" s="113"/>
      <c r="X661" s="113"/>
      <c r="Y661" s="113"/>
      <c r="Z661" s="113"/>
    </row>
    <row r="662">
      <c r="A662" s="113"/>
      <c r="B662" s="113"/>
      <c r="C662" s="113"/>
      <c r="D662" s="113"/>
      <c r="E662" s="113"/>
      <c r="F662" s="113"/>
      <c r="G662" s="113"/>
      <c r="H662" s="113"/>
      <c r="I662" s="113"/>
      <c r="J662" s="113"/>
      <c r="K662" s="113"/>
      <c r="L662" s="113"/>
      <c r="M662" s="113"/>
      <c r="N662" s="113"/>
      <c r="O662" s="113"/>
      <c r="P662" s="113"/>
      <c r="Q662" s="113"/>
      <c r="R662" s="113"/>
      <c r="S662" s="113"/>
      <c r="T662" s="113"/>
      <c r="U662" s="113"/>
      <c r="V662" s="113"/>
      <c r="W662" s="113"/>
      <c r="X662" s="113"/>
      <c r="Y662" s="113"/>
      <c r="Z662" s="113"/>
    </row>
    <row r="663">
      <c r="A663" s="113"/>
      <c r="B663" s="113"/>
      <c r="C663" s="113"/>
      <c r="D663" s="113"/>
      <c r="E663" s="113"/>
      <c r="F663" s="113"/>
      <c r="G663" s="113"/>
      <c r="H663" s="113"/>
      <c r="I663" s="113"/>
      <c r="J663" s="113"/>
      <c r="K663" s="113"/>
      <c r="L663" s="113"/>
      <c r="M663" s="113"/>
      <c r="N663" s="113"/>
      <c r="O663" s="113"/>
      <c r="P663" s="113"/>
      <c r="Q663" s="113"/>
      <c r="R663" s="113"/>
      <c r="S663" s="113"/>
      <c r="T663" s="113"/>
      <c r="U663" s="113"/>
      <c r="V663" s="113"/>
      <c r="W663" s="113"/>
      <c r="X663" s="113"/>
      <c r="Y663" s="113"/>
      <c r="Z663" s="113"/>
    </row>
    <row r="664">
      <c r="A664" s="113"/>
      <c r="B664" s="113"/>
      <c r="C664" s="113"/>
      <c r="D664" s="113"/>
      <c r="E664" s="113"/>
      <c r="F664" s="113"/>
      <c r="G664" s="113"/>
      <c r="H664" s="113"/>
      <c r="I664" s="113"/>
      <c r="J664" s="113"/>
      <c r="K664" s="113"/>
      <c r="L664" s="113"/>
      <c r="M664" s="113"/>
      <c r="N664" s="113"/>
      <c r="O664" s="113"/>
      <c r="P664" s="113"/>
      <c r="Q664" s="113"/>
      <c r="R664" s="113"/>
      <c r="S664" s="113"/>
      <c r="T664" s="113"/>
      <c r="U664" s="113"/>
      <c r="V664" s="113"/>
      <c r="W664" s="113"/>
      <c r="X664" s="113"/>
      <c r="Y664" s="113"/>
      <c r="Z664" s="113"/>
    </row>
    <row r="665">
      <c r="A665" s="113"/>
      <c r="B665" s="113"/>
      <c r="C665" s="113"/>
      <c r="D665" s="113"/>
      <c r="E665" s="113"/>
      <c r="F665" s="113"/>
      <c r="G665" s="113"/>
      <c r="H665" s="113"/>
      <c r="I665" s="113"/>
      <c r="J665" s="113"/>
      <c r="K665" s="113"/>
      <c r="L665" s="113"/>
      <c r="M665" s="113"/>
      <c r="N665" s="113"/>
      <c r="O665" s="113"/>
      <c r="P665" s="113"/>
      <c r="Q665" s="113"/>
      <c r="R665" s="113"/>
      <c r="S665" s="113"/>
      <c r="T665" s="113"/>
      <c r="U665" s="113"/>
      <c r="V665" s="113"/>
      <c r="W665" s="113"/>
      <c r="X665" s="113"/>
      <c r="Y665" s="113"/>
      <c r="Z665" s="113"/>
    </row>
    <row r="666">
      <c r="A666" s="113"/>
      <c r="B666" s="113"/>
      <c r="C666" s="113"/>
      <c r="D666" s="113"/>
      <c r="E666" s="113"/>
      <c r="F666" s="113"/>
      <c r="G666" s="113"/>
      <c r="H666" s="113"/>
      <c r="I666" s="113"/>
      <c r="J666" s="113"/>
      <c r="K666" s="113"/>
      <c r="L666" s="113"/>
      <c r="M666" s="113"/>
      <c r="N666" s="113"/>
      <c r="O666" s="113"/>
      <c r="P666" s="113"/>
      <c r="Q666" s="113"/>
      <c r="R666" s="113"/>
      <c r="S666" s="113"/>
      <c r="T666" s="113"/>
      <c r="U666" s="113"/>
      <c r="V666" s="113"/>
      <c r="W666" s="113"/>
      <c r="X666" s="113"/>
      <c r="Y666" s="113"/>
      <c r="Z666" s="113"/>
    </row>
    <row r="667">
      <c r="A667" s="113"/>
      <c r="B667" s="113"/>
      <c r="C667" s="113"/>
      <c r="D667" s="113"/>
      <c r="E667" s="113"/>
      <c r="F667" s="113"/>
      <c r="G667" s="113"/>
      <c r="H667" s="113"/>
      <c r="I667" s="113"/>
      <c r="J667" s="113"/>
      <c r="K667" s="113"/>
      <c r="L667" s="113"/>
      <c r="M667" s="113"/>
      <c r="N667" s="113"/>
      <c r="O667" s="113"/>
      <c r="P667" s="113"/>
      <c r="Q667" s="113"/>
      <c r="R667" s="113"/>
      <c r="S667" s="113"/>
      <c r="T667" s="113"/>
      <c r="U667" s="113"/>
      <c r="V667" s="113"/>
      <c r="W667" s="113"/>
      <c r="X667" s="113"/>
      <c r="Y667" s="113"/>
      <c r="Z667" s="113"/>
    </row>
    <row r="668">
      <c r="A668" s="113"/>
      <c r="B668" s="113"/>
      <c r="C668" s="113"/>
      <c r="D668" s="113"/>
      <c r="E668" s="113"/>
      <c r="F668" s="113"/>
      <c r="G668" s="113"/>
      <c r="H668" s="113"/>
      <c r="I668" s="113"/>
      <c r="J668" s="113"/>
      <c r="K668" s="113"/>
      <c r="L668" s="113"/>
      <c r="M668" s="113"/>
      <c r="N668" s="113"/>
      <c r="O668" s="113"/>
      <c r="P668" s="113"/>
      <c r="Q668" s="113"/>
      <c r="R668" s="113"/>
      <c r="S668" s="113"/>
      <c r="T668" s="113"/>
      <c r="U668" s="113"/>
      <c r="V668" s="113"/>
      <c r="W668" s="113"/>
      <c r="X668" s="113"/>
      <c r="Y668" s="113"/>
      <c r="Z668" s="113"/>
    </row>
    <row r="669">
      <c r="A669" s="113"/>
      <c r="B669" s="113"/>
      <c r="C669" s="113"/>
      <c r="D669" s="113"/>
      <c r="E669" s="113"/>
      <c r="F669" s="113"/>
      <c r="G669" s="113"/>
      <c r="H669" s="113"/>
      <c r="I669" s="113"/>
      <c r="J669" s="113"/>
      <c r="K669" s="113"/>
      <c r="L669" s="113"/>
      <c r="M669" s="113"/>
      <c r="N669" s="113"/>
      <c r="O669" s="113"/>
      <c r="P669" s="113"/>
      <c r="Q669" s="113"/>
      <c r="R669" s="113"/>
      <c r="S669" s="113"/>
      <c r="T669" s="113"/>
      <c r="U669" s="113"/>
      <c r="V669" s="113"/>
      <c r="W669" s="113"/>
      <c r="X669" s="113"/>
      <c r="Y669" s="113"/>
      <c r="Z669" s="113"/>
    </row>
    <row r="670">
      <c r="A670" s="113"/>
      <c r="B670" s="113"/>
      <c r="C670" s="113"/>
      <c r="D670" s="113"/>
      <c r="E670" s="113"/>
      <c r="F670" s="113"/>
      <c r="G670" s="113"/>
      <c r="H670" s="113"/>
      <c r="I670" s="113"/>
      <c r="J670" s="113"/>
      <c r="K670" s="113"/>
      <c r="L670" s="113"/>
      <c r="M670" s="113"/>
      <c r="N670" s="113"/>
      <c r="O670" s="113"/>
      <c r="P670" s="113"/>
      <c r="Q670" s="113"/>
      <c r="R670" s="113"/>
      <c r="S670" s="113"/>
      <c r="T670" s="113"/>
      <c r="U670" s="113"/>
      <c r="V670" s="113"/>
      <c r="W670" s="113"/>
      <c r="X670" s="113"/>
      <c r="Y670" s="113"/>
      <c r="Z670" s="113"/>
    </row>
    <row r="671">
      <c r="A671" s="113"/>
      <c r="B671" s="113"/>
      <c r="C671" s="113"/>
      <c r="D671" s="113"/>
      <c r="E671" s="113"/>
      <c r="F671" s="113"/>
      <c r="G671" s="113"/>
      <c r="H671" s="113"/>
      <c r="I671" s="113"/>
      <c r="J671" s="113"/>
      <c r="K671" s="113"/>
      <c r="L671" s="113"/>
      <c r="M671" s="113"/>
      <c r="N671" s="113"/>
      <c r="O671" s="113"/>
      <c r="P671" s="113"/>
      <c r="Q671" s="113"/>
      <c r="R671" s="113"/>
      <c r="S671" s="113"/>
      <c r="T671" s="113"/>
      <c r="U671" s="113"/>
      <c r="V671" s="113"/>
      <c r="W671" s="113"/>
      <c r="X671" s="113"/>
      <c r="Y671" s="113"/>
      <c r="Z671" s="113"/>
    </row>
    <row r="672">
      <c r="A672" s="113"/>
      <c r="B672" s="113"/>
      <c r="C672" s="113"/>
      <c r="D672" s="113"/>
      <c r="E672" s="113"/>
      <c r="F672" s="113"/>
      <c r="G672" s="113"/>
      <c r="H672" s="113"/>
      <c r="I672" s="113"/>
      <c r="J672" s="113"/>
      <c r="K672" s="113"/>
      <c r="L672" s="113"/>
      <c r="M672" s="113"/>
      <c r="N672" s="113"/>
      <c r="O672" s="113"/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3"/>
    </row>
    <row r="673">
      <c r="A673" s="113"/>
      <c r="B673" s="113"/>
      <c r="C673" s="113"/>
      <c r="D673" s="113"/>
      <c r="E673" s="113"/>
      <c r="F673" s="113"/>
      <c r="G673" s="113"/>
      <c r="H673" s="113"/>
      <c r="I673" s="113"/>
      <c r="J673" s="113"/>
      <c r="K673" s="113"/>
      <c r="L673" s="113"/>
      <c r="M673" s="113"/>
      <c r="N673" s="113"/>
      <c r="O673" s="113"/>
      <c r="P673" s="113"/>
      <c r="Q673" s="113"/>
      <c r="R673" s="113"/>
      <c r="S673" s="113"/>
      <c r="T673" s="113"/>
      <c r="U673" s="113"/>
      <c r="V673" s="113"/>
      <c r="W673" s="113"/>
      <c r="X673" s="113"/>
      <c r="Y673" s="113"/>
      <c r="Z673" s="113"/>
    </row>
    <row r="674">
      <c r="A674" s="113"/>
      <c r="B674" s="113"/>
      <c r="C674" s="113"/>
      <c r="D674" s="113"/>
      <c r="E674" s="113"/>
      <c r="F674" s="113"/>
      <c r="G674" s="113"/>
      <c r="H674" s="113"/>
      <c r="I674" s="113"/>
      <c r="J674" s="113"/>
      <c r="K674" s="113"/>
      <c r="L674" s="113"/>
      <c r="M674" s="113"/>
      <c r="N674" s="113"/>
      <c r="O674" s="113"/>
      <c r="P674" s="113"/>
      <c r="Q674" s="113"/>
      <c r="R674" s="113"/>
      <c r="S674" s="113"/>
      <c r="T674" s="113"/>
      <c r="U674" s="113"/>
      <c r="V674" s="113"/>
      <c r="W674" s="113"/>
      <c r="X674" s="113"/>
      <c r="Y674" s="113"/>
      <c r="Z674" s="113"/>
    </row>
    <row r="675">
      <c r="A675" s="113"/>
      <c r="B675" s="113"/>
      <c r="C675" s="113"/>
      <c r="D675" s="113"/>
      <c r="E675" s="113"/>
      <c r="F675" s="113"/>
      <c r="G675" s="113"/>
      <c r="H675" s="113"/>
      <c r="I675" s="113"/>
      <c r="J675" s="113"/>
      <c r="K675" s="113"/>
      <c r="L675" s="113"/>
      <c r="M675" s="113"/>
      <c r="N675" s="113"/>
      <c r="O675" s="113"/>
      <c r="P675" s="113"/>
      <c r="Q675" s="113"/>
      <c r="R675" s="113"/>
      <c r="S675" s="113"/>
      <c r="T675" s="113"/>
      <c r="U675" s="113"/>
      <c r="V675" s="113"/>
      <c r="W675" s="113"/>
      <c r="X675" s="113"/>
      <c r="Y675" s="113"/>
      <c r="Z675" s="113"/>
    </row>
    <row r="676">
      <c r="A676" s="113"/>
      <c r="B676" s="113"/>
      <c r="C676" s="113"/>
      <c r="D676" s="113"/>
      <c r="E676" s="113"/>
      <c r="F676" s="113"/>
      <c r="G676" s="113"/>
      <c r="H676" s="113"/>
      <c r="I676" s="113"/>
      <c r="J676" s="113"/>
      <c r="K676" s="113"/>
      <c r="L676" s="113"/>
      <c r="M676" s="113"/>
      <c r="N676" s="113"/>
      <c r="O676" s="113"/>
      <c r="P676" s="113"/>
      <c r="Q676" s="113"/>
      <c r="R676" s="113"/>
      <c r="S676" s="113"/>
      <c r="T676" s="113"/>
      <c r="U676" s="113"/>
      <c r="V676" s="113"/>
      <c r="W676" s="113"/>
      <c r="X676" s="113"/>
      <c r="Y676" s="113"/>
      <c r="Z676" s="113"/>
    </row>
    <row r="677">
      <c r="A677" s="113"/>
      <c r="B677" s="113"/>
      <c r="C677" s="113"/>
      <c r="D677" s="113"/>
      <c r="E677" s="113"/>
      <c r="F677" s="113"/>
      <c r="G677" s="113"/>
      <c r="H677" s="113"/>
      <c r="I677" s="113"/>
      <c r="J677" s="113"/>
      <c r="K677" s="113"/>
      <c r="L677" s="113"/>
      <c r="M677" s="113"/>
      <c r="N677" s="113"/>
      <c r="O677" s="113"/>
      <c r="P677" s="113"/>
      <c r="Q677" s="113"/>
      <c r="R677" s="113"/>
      <c r="S677" s="113"/>
      <c r="T677" s="113"/>
      <c r="U677" s="113"/>
      <c r="V677" s="113"/>
      <c r="W677" s="113"/>
      <c r="X677" s="113"/>
      <c r="Y677" s="113"/>
      <c r="Z677" s="113"/>
    </row>
    <row r="678">
      <c r="A678" s="113"/>
      <c r="B678" s="113"/>
      <c r="C678" s="113"/>
      <c r="D678" s="113"/>
      <c r="E678" s="113"/>
      <c r="F678" s="113"/>
      <c r="G678" s="113"/>
      <c r="H678" s="113"/>
      <c r="I678" s="113"/>
      <c r="J678" s="113"/>
      <c r="K678" s="113"/>
      <c r="L678" s="113"/>
      <c r="M678" s="113"/>
      <c r="N678" s="113"/>
      <c r="O678" s="113"/>
      <c r="P678" s="113"/>
      <c r="Q678" s="113"/>
      <c r="R678" s="113"/>
      <c r="S678" s="113"/>
      <c r="T678" s="113"/>
      <c r="U678" s="113"/>
      <c r="V678" s="113"/>
      <c r="W678" s="113"/>
      <c r="X678" s="113"/>
      <c r="Y678" s="113"/>
      <c r="Z678" s="113"/>
    </row>
    <row r="679">
      <c r="A679" s="113"/>
      <c r="B679" s="113"/>
      <c r="C679" s="113"/>
      <c r="D679" s="113"/>
      <c r="E679" s="113"/>
      <c r="F679" s="113"/>
      <c r="G679" s="113"/>
      <c r="H679" s="113"/>
      <c r="I679" s="113"/>
      <c r="J679" s="113"/>
      <c r="K679" s="113"/>
      <c r="L679" s="113"/>
      <c r="M679" s="113"/>
      <c r="N679" s="113"/>
      <c r="O679" s="113"/>
      <c r="P679" s="113"/>
      <c r="Q679" s="113"/>
      <c r="R679" s="113"/>
      <c r="S679" s="113"/>
      <c r="T679" s="113"/>
      <c r="U679" s="113"/>
      <c r="V679" s="113"/>
      <c r="W679" s="113"/>
      <c r="X679" s="113"/>
      <c r="Y679" s="113"/>
      <c r="Z679" s="113"/>
    </row>
    <row r="680">
      <c r="A680" s="113"/>
      <c r="B680" s="113"/>
      <c r="C680" s="113"/>
      <c r="D680" s="113"/>
      <c r="E680" s="113"/>
      <c r="F680" s="113"/>
      <c r="G680" s="113"/>
      <c r="H680" s="113"/>
      <c r="I680" s="113"/>
      <c r="J680" s="113"/>
      <c r="K680" s="113"/>
      <c r="L680" s="113"/>
      <c r="M680" s="113"/>
      <c r="N680" s="113"/>
      <c r="O680" s="113"/>
      <c r="P680" s="113"/>
      <c r="Q680" s="113"/>
      <c r="R680" s="113"/>
      <c r="S680" s="113"/>
      <c r="T680" s="113"/>
      <c r="U680" s="113"/>
      <c r="V680" s="113"/>
      <c r="W680" s="113"/>
      <c r="X680" s="113"/>
      <c r="Y680" s="113"/>
      <c r="Z680" s="113"/>
    </row>
    <row r="681">
      <c r="A681" s="113"/>
      <c r="B681" s="113"/>
      <c r="C681" s="113"/>
      <c r="D681" s="113"/>
      <c r="E681" s="113"/>
      <c r="F681" s="113"/>
      <c r="G681" s="113"/>
      <c r="H681" s="113"/>
      <c r="I681" s="113"/>
      <c r="J681" s="113"/>
      <c r="K681" s="113"/>
      <c r="L681" s="113"/>
      <c r="M681" s="113"/>
      <c r="N681" s="113"/>
      <c r="O681" s="113"/>
      <c r="P681" s="113"/>
      <c r="Q681" s="113"/>
      <c r="R681" s="113"/>
      <c r="S681" s="113"/>
      <c r="T681" s="113"/>
      <c r="U681" s="113"/>
      <c r="V681" s="113"/>
      <c r="W681" s="113"/>
      <c r="X681" s="113"/>
      <c r="Y681" s="113"/>
      <c r="Z681" s="113"/>
    </row>
    <row r="682">
      <c r="A682" s="113"/>
      <c r="B682" s="113"/>
      <c r="C682" s="113"/>
      <c r="D682" s="113"/>
      <c r="E682" s="113"/>
      <c r="F682" s="113"/>
      <c r="G682" s="113"/>
      <c r="H682" s="113"/>
      <c r="I682" s="113"/>
      <c r="J682" s="113"/>
      <c r="K682" s="113"/>
      <c r="L682" s="113"/>
      <c r="M682" s="113"/>
      <c r="N682" s="113"/>
      <c r="O682" s="113"/>
      <c r="P682" s="113"/>
      <c r="Q682" s="113"/>
      <c r="R682" s="113"/>
      <c r="S682" s="113"/>
      <c r="T682" s="113"/>
      <c r="U682" s="113"/>
      <c r="V682" s="113"/>
      <c r="W682" s="113"/>
      <c r="X682" s="113"/>
      <c r="Y682" s="113"/>
      <c r="Z682" s="113"/>
    </row>
    <row r="683">
      <c r="A683" s="113"/>
      <c r="B683" s="113"/>
      <c r="C683" s="113"/>
      <c r="D683" s="113"/>
      <c r="E683" s="113"/>
      <c r="F683" s="113"/>
      <c r="G683" s="113"/>
      <c r="H683" s="113"/>
      <c r="I683" s="113"/>
      <c r="J683" s="113"/>
      <c r="K683" s="113"/>
      <c r="L683" s="113"/>
      <c r="M683" s="113"/>
      <c r="N683" s="113"/>
      <c r="O683" s="113"/>
      <c r="P683" s="113"/>
      <c r="Q683" s="113"/>
      <c r="R683" s="113"/>
      <c r="S683" s="113"/>
      <c r="T683" s="113"/>
      <c r="U683" s="113"/>
      <c r="V683" s="113"/>
      <c r="W683" s="113"/>
      <c r="X683" s="113"/>
      <c r="Y683" s="113"/>
      <c r="Z683" s="113"/>
    </row>
    <row r="684">
      <c r="A684" s="113"/>
      <c r="B684" s="113"/>
      <c r="C684" s="113"/>
      <c r="D684" s="113"/>
      <c r="E684" s="113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  <c r="P684" s="113"/>
      <c r="Q684" s="113"/>
      <c r="R684" s="113"/>
      <c r="S684" s="113"/>
      <c r="T684" s="113"/>
      <c r="U684" s="113"/>
      <c r="V684" s="113"/>
      <c r="W684" s="113"/>
      <c r="X684" s="113"/>
      <c r="Y684" s="113"/>
      <c r="Z684" s="113"/>
    </row>
    <row r="685">
      <c r="A685" s="113"/>
      <c r="B685" s="113"/>
      <c r="C685" s="113"/>
      <c r="D685" s="113"/>
      <c r="E685" s="113"/>
      <c r="F685" s="113"/>
      <c r="G685" s="113"/>
      <c r="H685" s="113"/>
      <c r="I685" s="113"/>
      <c r="J685" s="113"/>
      <c r="K685" s="113"/>
      <c r="L685" s="113"/>
      <c r="M685" s="113"/>
      <c r="N685" s="113"/>
      <c r="O685" s="113"/>
      <c r="P685" s="113"/>
      <c r="Q685" s="113"/>
      <c r="R685" s="113"/>
      <c r="S685" s="113"/>
      <c r="T685" s="113"/>
      <c r="U685" s="113"/>
      <c r="V685" s="113"/>
      <c r="W685" s="113"/>
      <c r="X685" s="113"/>
      <c r="Y685" s="113"/>
      <c r="Z685" s="113"/>
    </row>
    <row r="686">
      <c r="A686" s="113"/>
      <c r="B686" s="113"/>
      <c r="C686" s="113"/>
      <c r="D686" s="113"/>
      <c r="E686" s="113"/>
      <c r="F686" s="113"/>
      <c r="G686" s="113"/>
      <c r="H686" s="113"/>
      <c r="I686" s="113"/>
      <c r="J686" s="113"/>
      <c r="K686" s="113"/>
      <c r="L686" s="113"/>
      <c r="M686" s="113"/>
      <c r="N686" s="113"/>
      <c r="O686" s="113"/>
      <c r="P686" s="113"/>
      <c r="Q686" s="113"/>
      <c r="R686" s="113"/>
      <c r="S686" s="113"/>
      <c r="T686" s="113"/>
      <c r="U686" s="113"/>
      <c r="V686" s="113"/>
      <c r="W686" s="113"/>
      <c r="X686" s="113"/>
      <c r="Y686" s="113"/>
      <c r="Z686" s="113"/>
    </row>
    <row r="687">
      <c r="A687" s="113"/>
      <c r="B687" s="113"/>
      <c r="C687" s="113"/>
      <c r="D687" s="113"/>
      <c r="E687" s="113"/>
      <c r="F687" s="113"/>
      <c r="G687" s="113"/>
      <c r="H687" s="113"/>
      <c r="I687" s="113"/>
      <c r="J687" s="113"/>
      <c r="K687" s="113"/>
      <c r="L687" s="113"/>
      <c r="M687" s="113"/>
      <c r="N687" s="113"/>
      <c r="O687" s="113"/>
      <c r="P687" s="113"/>
      <c r="Q687" s="113"/>
      <c r="R687" s="113"/>
      <c r="S687" s="113"/>
      <c r="T687" s="113"/>
      <c r="U687" s="113"/>
      <c r="V687" s="113"/>
      <c r="W687" s="113"/>
      <c r="X687" s="113"/>
      <c r="Y687" s="113"/>
      <c r="Z687" s="113"/>
    </row>
    <row r="688">
      <c r="A688" s="113"/>
      <c r="B688" s="113"/>
      <c r="C688" s="113"/>
      <c r="D688" s="113"/>
      <c r="E688" s="113"/>
      <c r="F688" s="113"/>
      <c r="G688" s="113"/>
      <c r="H688" s="113"/>
      <c r="I688" s="113"/>
      <c r="J688" s="113"/>
      <c r="K688" s="113"/>
      <c r="L688" s="113"/>
      <c r="M688" s="113"/>
      <c r="N688" s="113"/>
      <c r="O688" s="113"/>
      <c r="P688" s="113"/>
      <c r="Q688" s="113"/>
      <c r="R688" s="113"/>
      <c r="S688" s="113"/>
      <c r="T688" s="113"/>
      <c r="U688" s="113"/>
      <c r="V688" s="113"/>
      <c r="W688" s="113"/>
      <c r="X688" s="113"/>
      <c r="Y688" s="113"/>
      <c r="Z688" s="113"/>
    </row>
    <row r="689">
      <c r="A689" s="113"/>
      <c r="B689" s="113"/>
      <c r="C689" s="113"/>
      <c r="D689" s="113"/>
      <c r="E689" s="113"/>
      <c r="F689" s="113"/>
      <c r="G689" s="113"/>
      <c r="H689" s="113"/>
      <c r="I689" s="113"/>
      <c r="J689" s="113"/>
      <c r="K689" s="113"/>
      <c r="L689" s="113"/>
      <c r="M689" s="113"/>
      <c r="N689" s="113"/>
      <c r="O689" s="113"/>
      <c r="P689" s="113"/>
      <c r="Q689" s="113"/>
      <c r="R689" s="113"/>
      <c r="S689" s="113"/>
      <c r="T689" s="113"/>
      <c r="U689" s="113"/>
      <c r="V689" s="113"/>
      <c r="W689" s="113"/>
      <c r="X689" s="113"/>
      <c r="Y689" s="113"/>
      <c r="Z689" s="113"/>
    </row>
    <row r="690">
      <c r="A690" s="113"/>
      <c r="B690" s="113"/>
      <c r="C690" s="113"/>
      <c r="D690" s="113"/>
      <c r="E690" s="113"/>
      <c r="F690" s="113"/>
      <c r="G690" s="113"/>
      <c r="H690" s="113"/>
      <c r="I690" s="113"/>
      <c r="J690" s="113"/>
      <c r="K690" s="113"/>
      <c r="L690" s="113"/>
      <c r="M690" s="113"/>
      <c r="N690" s="113"/>
      <c r="O690" s="113"/>
      <c r="P690" s="113"/>
      <c r="Q690" s="113"/>
      <c r="R690" s="113"/>
      <c r="S690" s="113"/>
      <c r="T690" s="113"/>
      <c r="U690" s="113"/>
      <c r="V690" s="113"/>
      <c r="W690" s="113"/>
      <c r="X690" s="113"/>
      <c r="Y690" s="113"/>
      <c r="Z690" s="113"/>
    </row>
    <row r="691">
      <c r="A691" s="113"/>
      <c r="B691" s="113"/>
      <c r="C691" s="113"/>
      <c r="D691" s="113"/>
      <c r="E691" s="113"/>
      <c r="F691" s="113"/>
      <c r="G691" s="113"/>
      <c r="H691" s="113"/>
      <c r="I691" s="113"/>
      <c r="J691" s="113"/>
      <c r="K691" s="113"/>
      <c r="L691" s="113"/>
      <c r="M691" s="113"/>
      <c r="N691" s="113"/>
      <c r="O691" s="113"/>
      <c r="P691" s="113"/>
      <c r="Q691" s="113"/>
      <c r="R691" s="113"/>
      <c r="S691" s="113"/>
      <c r="T691" s="113"/>
      <c r="U691" s="113"/>
      <c r="V691" s="113"/>
      <c r="W691" s="113"/>
      <c r="X691" s="113"/>
      <c r="Y691" s="113"/>
      <c r="Z691" s="113"/>
    </row>
    <row r="692">
      <c r="A692" s="113"/>
      <c r="B692" s="113"/>
      <c r="C692" s="113"/>
      <c r="D692" s="113"/>
      <c r="E692" s="113"/>
      <c r="F692" s="113"/>
      <c r="G692" s="113"/>
      <c r="H692" s="113"/>
      <c r="I692" s="113"/>
      <c r="J692" s="113"/>
      <c r="K692" s="113"/>
      <c r="L692" s="113"/>
      <c r="M692" s="113"/>
      <c r="N692" s="113"/>
      <c r="O692" s="113"/>
      <c r="P692" s="113"/>
      <c r="Q692" s="113"/>
      <c r="R692" s="113"/>
      <c r="S692" s="113"/>
      <c r="T692" s="113"/>
      <c r="U692" s="113"/>
      <c r="V692" s="113"/>
      <c r="W692" s="113"/>
      <c r="X692" s="113"/>
      <c r="Y692" s="113"/>
      <c r="Z692" s="113"/>
    </row>
    <row r="693">
      <c r="A693" s="113"/>
      <c r="B693" s="113"/>
      <c r="C693" s="113"/>
      <c r="D693" s="113"/>
      <c r="E693" s="113"/>
      <c r="F693" s="113"/>
      <c r="G693" s="113"/>
      <c r="H693" s="113"/>
      <c r="I693" s="113"/>
      <c r="J693" s="113"/>
      <c r="K693" s="113"/>
      <c r="L693" s="113"/>
      <c r="M693" s="113"/>
      <c r="N693" s="113"/>
      <c r="O693" s="113"/>
      <c r="P693" s="113"/>
      <c r="Q693" s="113"/>
      <c r="R693" s="113"/>
      <c r="S693" s="113"/>
      <c r="T693" s="113"/>
      <c r="U693" s="113"/>
      <c r="V693" s="113"/>
      <c r="W693" s="113"/>
      <c r="X693" s="113"/>
      <c r="Y693" s="113"/>
      <c r="Z693" s="113"/>
    </row>
    <row r="694">
      <c r="A694" s="113"/>
      <c r="B694" s="113"/>
      <c r="C694" s="113"/>
      <c r="D694" s="113"/>
      <c r="E694" s="113"/>
      <c r="F694" s="113"/>
      <c r="G694" s="113"/>
      <c r="H694" s="113"/>
      <c r="I694" s="113"/>
      <c r="J694" s="113"/>
      <c r="K694" s="113"/>
      <c r="L694" s="113"/>
      <c r="M694" s="113"/>
      <c r="N694" s="113"/>
      <c r="O694" s="113"/>
      <c r="P694" s="113"/>
      <c r="Q694" s="113"/>
      <c r="R694" s="113"/>
      <c r="S694" s="113"/>
      <c r="T694" s="113"/>
      <c r="U694" s="113"/>
      <c r="V694" s="113"/>
      <c r="W694" s="113"/>
      <c r="X694" s="113"/>
      <c r="Y694" s="113"/>
      <c r="Z694" s="113"/>
    </row>
    <row r="695">
      <c r="A695" s="113"/>
      <c r="B695" s="113"/>
      <c r="C695" s="113"/>
      <c r="D695" s="113"/>
      <c r="E695" s="113"/>
      <c r="F695" s="113"/>
      <c r="G695" s="113"/>
      <c r="H695" s="113"/>
      <c r="I695" s="113"/>
      <c r="J695" s="113"/>
      <c r="K695" s="113"/>
      <c r="L695" s="113"/>
      <c r="M695" s="113"/>
      <c r="N695" s="113"/>
      <c r="O695" s="113"/>
      <c r="P695" s="113"/>
      <c r="Q695" s="113"/>
      <c r="R695" s="113"/>
      <c r="S695" s="113"/>
      <c r="T695" s="113"/>
      <c r="U695" s="113"/>
      <c r="V695" s="113"/>
      <c r="W695" s="113"/>
      <c r="X695" s="113"/>
      <c r="Y695" s="113"/>
      <c r="Z695" s="113"/>
    </row>
    <row r="696">
      <c r="A696" s="113"/>
      <c r="B696" s="113"/>
      <c r="C696" s="113"/>
      <c r="D696" s="113"/>
      <c r="E696" s="113"/>
      <c r="F696" s="113"/>
      <c r="G696" s="113"/>
      <c r="H696" s="113"/>
      <c r="I696" s="113"/>
      <c r="J696" s="113"/>
      <c r="K696" s="113"/>
      <c r="L696" s="113"/>
      <c r="M696" s="113"/>
      <c r="N696" s="113"/>
      <c r="O696" s="113"/>
      <c r="P696" s="113"/>
      <c r="Q696" s="113"/>
      <c r="R696" s="113"/>
      <c r="S696" s="113"/>
      <c r="T696" s="113"/>
      <c r="U696" s="113"/>
      <c r="V696" s="113"/>
      <c r="W696" s="113"/>
      <c r="X696" s="113"/>
      <c r="Y696" s="113"/>
      <c r="Z696" s="113"/>
    </row>
    <row r="697">
      <c r="A697" s="113"/>
      <c r="B697" s="113"/>
      <c r="C697" s="113"/>
      <c r="D697" s="113"/>
      <c r="E697" s="113"/>
      <c r="F697" s="113"/>
      <c r="G697" s="113"/>
      <c r="H697" s="113"/>
      <c r="I697" s="113"/>
      <c r="J697" s="113"/>
      <c r="K697" s="113"/>
      <c r="L697" s="113"/>
      <c r="M697" s="113"/>
      <c r="N697" s="113"/>
      <c r="O697" s="113"/>
      <c r="P697" s="113"/>
      <c r="Q697" s="113"/>
      <c r="R697" s="113"/>
      <c r="S697" s="113"/>
      <c r="T697" s="113"/>
      <c r="U697" s="113"/>
      <c r="V697" s="113"/>
      <c r="W697" s="113"/>
      <c r="X697" s="113"/>
      <c r="Y697" s="113"/>
      <c r="Z697" s="113"/>
    </row>
    <row r="698">
      <c r="A698" s="113"/>
      <c r="B698" s="113"/>
      <c r="C698" s="113"/>
      <c r="D698" s="113"/>
      <c r="E698" s="113"/>
      <c r="F698" s="113"/>
      <c r="G698" s="113"/>
      <c r="H698" s="113"/>
      <c r="I698" s="113"/>
      <c r="J698" s="113"/>
      <c r="K698" s="113"/>
      <c r="L698" s="113"/>
      <c r="M698" s="113"/>
      <c r="N698" s="113"/>
      <c r="O698" s="113"/>
      <c r="P698" s="113"/>
      <c r="Q698" s="113"/>
      <c r="R698" s="113"/>
      <c r="S698" s="113"/>
      <c r="T698" s="113"/>
      <c r="U698" s="113"/>
      <c r="V698" s="113"/>
      <c r="W698" s="113"/>
      <c r="X698" s="113"/>
      <c r="Y698" s="113"/>
      <c r="Z698" s="113"/>
    </row>
    <row r="699">
      <c r="A699" s="113"/>
      <c r="B699" s="113"/>
      <c r="C699" s="113"/>
      <c r="D699" s="113"/>
      <c r="E699" s="113"/>
      <c r="F699" s="113"/>
      <c r="G699" s="113"/>
      <c r="H699" s="113"/>
      <c r="I699" s="113"/>
      <c r="J699" s="113"/>
      <c r="K699" s="113"/>
      <c r="L699" s="113"/>
      <c r="M699" s="113"/>
      <c r="N699" s="113"/>
      <c r="O699" s="113"/>
      <c r="P699" s="113"/>
      <c r="Q699" s="113"/>
      <c r="R699" s="113"/>
      <c r="S699" s="113"/>
      <c r="T699" s="113"/>
      <c r="U699" s="113"/>
      <c r="V699" s="113"/>
      <c r="W699" s="113"/>
      <c r="X699" s="113"/>
      <c r="Y699" s="113"/>
      <c r="Z699" s="113"/>
    </row>
    <row r="700">
      <c r="A700" s="113"/>
      <c r="B700" s="113"/>
      <c r="C700" s="113"/>
      <c r="D700" s="113"/>
      <c r="E700" s="113"/>
      <c r="F700" s="113"/>
      <c r="G700" s="113"/>
      <c r="H700" s="113"/>
      <c r="I700" s="113"/>
      <c r="J700" s="113"/>
      <c r="K700" s="113"/>
      <c r="L700" s="113"/>
      <c r="M700" s="113"/>
      <c r="N700" s="113"/>
      <c r="O700" s="113"/>
      <c r="P700" s="113"/>
      <c r="Q700" s="113"/>
      <c r="R700" s="113"/>
      <c r="S700" s="113"/>
      <c r="T700" s="113"/>
      <c r="U700" s="113"/>
      <c r="V700" s="113"/>
      <c r="W700" s="113"/>
      <c r="X700" s="113"/>
      <c r="Y700" s="113"/>
      <c r="Z700" s="113"/>
    </row>
    <row r="701">
      <c r="A701" s="113"/>
      <c r="B701" s="113"/>
      <c r="C701" s="113"/>
      <c r="D701" s="113"/>
      <c r="E701" s="113"/>
      <c r="F701" s="113"/>
      <c r="G701" s="113"/>
      <c r="H701" s="113"/>
      <c r="I701" s="113"/>
      <c r="J701" s="113"/>
      <c r="K701" s="113"/>
      <c r="L701" s="113"/>
      <c r="M701" s="113"/>
      <c r="N701" s="113"/>
      <c r="O701" s="113"/>
      <c r="P701" s="113"/>
      <c r="Q701" s="113"/>
      <c r="R701" s="113"/>
      <c r="S701" s="113"/>
      <c r="T701" s="113"/>
      <c r="U701" s="113"/>
      <c r="V701" s="113"/>
      <c r="W701" s="113"/>
      <c r="X701" s="113"/>
      <c r="Y701" s="113"/>
      <c r="Z701" s="113"/>
    </row>
    <row r="702">
      <c r="A702" s="113"/>
      <c r="B702" s="113"/>
      <c r="C702" s="113"/>
      <c r="D702" s="113"/>
      <c r="E702" s="113"/>
      <c r="F702" s="113"/>
      <c r="G702" s="113"/>
      <c r="H702" s="113"/>
      <c r="I702" s="113"/>
      <c r="J702" s="113"/>
      <c r="K702" s="113"/>
      <c r="L702" s="113"/>
      <c r="M702" s="113"/>
      <c r="N702" s="113"/>
      <c r="O702" s="113"/>
      <c r="P702" s="113"/>
      <c r="Q702" s="113"/>
      <c r="R702" s="113"/>
      <c r="S702" s="113"/>
      <c r="T702" s="113"/>
      <c r="U702" s="113"/>
      <c r="V702" s="113"/>
      <c r="W702" s="113"/>
      <c r="X702" s="113"/>
      <c r="Y702" s="113"/>
      <c r="Z702" s="113"/>
    </row>
    <row r="703">
      <c r="A703" s="113"/>
      <c r="B703" s="113"/>
      <c r="C703" s="113"/>
      <c r="D703" s="113"/>
      <c r="E703" s="113"/>
      <c r="F703" s="113"/>
      <c r="G703" s="113"/>
      <c r="H703" s="113"/>
      <c r="I703" s="113"/>
      <c r="J703" s="113"/>
      <c r="K703" s="113"/>
      <c r="L703" s="113"/>
      <c r="M703" s="113"/>
      <c r="N703" s="113"/>
      <c r="O703" s="113"/>
      <c r="P703" s="113"/>
      <c r="Q703" s="113"/>
      <c r="R703" s="113"/>
      <c r="S703" s="113"/>
      <c r="T703" s="113"/>
      <c r="U703" s="113"/>
      <c r="V703" s="113"/>
      <c r="W703" s="113"/>
      <c r="X703" s="113"/>
      <c r="Y703" s="113"/>
      <c r="Z703" s="113"/>
    </row>
    <row r="704">
      <c r="A704" s="113"/>
      <c r="B704" s="113"/>
      <c r="C704" s="113"/>
      <c r="D704" s="113"/>
      <c r="E704" s="113"/>
      <c r="F704" s="113"/>
      <c r="G704" s="113"/>
      <c r="H704" s="113"/>
      <c r="I704" s="113"/>
      <c r="J704" s="113"/>
      <c r="K704" s="113"/>
      <c r="L704" s="113"/>
      <c r="M704" s="113"/>
      <c r="N704" s="113"/>
      <c r="O704" s="113"/>
      <c r="P704" s="113"/>
      <c r="Q704" s="113"/>
      <c r="R704" s="113"/>
      <c r="S704" s="113"/>
      <c r="T704" s="113"/>
      <c r="U704" s="113"/>
      <c r="V704" s="113"/>
      <c r="W704" s="113"/>
      <c r="X704" s="113"/>
      <c r="Y704" s="113"/>
      <c r="Z704" s="113"/>
    </row>
    <row r="705">
      <c r="A705" s="113"/>
      <c r="B705" s="113"/>
      <c r="C705" s="113"/>
      <c r="D705" s="113"/>
      <c r="E705" s="113"/>
      <c r="F705" s="113"/>
      <c r="G705" s="113"/>
      <c r="H705" s="113"/>
      <c r="I705" s="113"/>
      <c r="J705" s="113"/>
      <c r="K705" s="113"/>
      <c r="L705" s="113"/>
      <c r="M705" s="113"/>
      <c r="N705" s="113"/>
      <c r="O705" s="113"/>
      <c r="P705" s="113"/>
      <c r="Q705" s="113"/>
      <c r="R705" s="113"/>
      <c r="S705" s="113"/>
      <c r="T705" s="113"/>
      <c r="U705" s="113"/>
      <c r="V705" s="113"/>
      <c r="W705" s="113"/>
      <c r="X705" s="113"/>
      <c r="Y705" s="113"/>
      <c r="Z705" s="113"/>
    </row>
    <row r="706">
      <c r="A706" s="113"/>
      <c r="B706" s="113"/>
      <c r="C706" s="113"/>
      <c r="D706" s="113"/>
      <c r="E706" s="113"/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  <c r="P706" s="113"/>
      <c r="Q706" s="113"/>
      <c r="R706" s="113"/>
      <c r="S706" s="113"/>
      <c r="T706" s="113"/>
      <c r="U706" s="113"/>
      <c r="V706" s="113"/>
      <c r="W706" s="113"/>
      <c r="X706" s="113"/>
      <c r="Y706" s="113"/>
      <c r="Z706" s="113"/>
    </row>
    <row r="707">
      <c r="A707" s="113"/>
      <c r="B707" s="113"/>
      <c r="C707" s="113"/>
      <c r="D707" s="113"/>
      <c r="E707" s="113"/>
      <c r="F707" s="113"/>
      <c r="G707" s="113"/>
      <c r="H707" s="113"/>
      <c r="I707" s="113"/>
      <c r="J707" s="113"/>
      <c r="K707" s="113"/>
      <c r="L707" s="113"/>
      <c r="M707" s="113"/>
      <c r="N707" s="113"/>
      <c r="O707" s="113"/>
      <c r="P707" s="113"/>
      <c r="Q707" s="113"/>
      <c r="R707" s="113"/>
      <c r="S707" s="113"/>
      <c r="T707" s="113"/>
      <c r="U707" s="113"/>
      <c r="V707" s="113"/>
      <c r="W707" s="113"/>
      <c r="X707" s="113"/>
      <c r="Y707" s="113"/>
      <c r="Z707" s="113"/>
    </row>
    <row r="708">
      <c r="A708" s="113"/>
      <c r="B708" s="113"/>
      <c r="C708" s="113"/>
      <c r="D708" s="113"/>
      <c r="E708" s="113"/>
      <c r="F708" s="113"/>
      <c r="G708" s="113"/>
      <c r="H708" s="113"/>
      <c r="I708" s="113"/>
      <c r="J708" s="113"/>
      <c r="K708" s="113"/>
      <c r="L708" s="113"/>
      <c r="M708" s="113"/>
      <c r="N708" s="113"/>
      <c r="O708" s="113"/>
      <c r="P708" s="113"/>
      <c r="Q708" s="113"/>
      <c r="R708" s="113"/>
      <c r="S708" s="113"/>
      <c r="T708" s="113"/>
      <c r="U708" s="113"/>
      <c r="V708" s="113"/>
      <c r="W708" s="113"/>
      <c r="X708" s="113"/>
      <c r="Y708" s="113"/>
      <c r="Z708" s="113"/>
    </row>
    <row r="709">
      <c r="A709" s="113"/>
      <c r="B709" s="113"/>
      <c r="C709" s="113"/>
      <c r="D709" s="113"/>
      <c r="E709" s="113"/>
      <c r="F709" s="113"/>
      <c r="G709" s="113"/>
      <c r="H709" s="113"/>
      <c r="I709" s="113"/>
      <c r="J709" s="113"/>
      <c r="K709" s="113"/>
      <c r="L709" s="113"/>
      <c r="M709" s="113"/>
      <c r="N709" s="113"/>
      <c r="O709" s="113"/>
      <c r="P709" s="113"/>
      <c r="Q709" s="113"/>
      <c r="R709" s="113"/>
      <c r="S709" s="113"/>
      <c r="T709" s="113"/>
      <c r="U709" s="113"/>
      <c r="V709" s="113"/>
      <c r="W709" s="113"/>
      <c r="X709" s="113"/>
      <c r="Y709" s="113"/>
      <c r="Z709" s="113"/>
    </row>
    <row r="710">
      <c r="A710" s="113"/>
      <c r="B710" s="113"/>
      <c r="C710" s="113"/>
      <c r="D710" s="113"/>
      <c r="E710" s="113"/>
      <c r="F710" s="113"/>
      <c r="G710" s="113"/>
      <c r="H710" s="113"/>
      <c r="I710" s="113"/>
      <c r="J710" s="113"/>
      <c r="K710" s="113"/>
      <c r="L710" s="113"/>
      <c r="M710" s="113"/>
      <c r="N710" s="113"/>
      <c r="O710" s="113"/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3"/>
    </row>
    <row r="711">
      <c r="A711" s="113"/>
      <c r="B711" s="113"/>
      <c r="C711" s="113"/>
      <c r="D711" s="113"/>
      <c r="E711" s="113"/>
      <c r="F711" s="113"/>
      <c r="G711" s="113"/>
      <c r="H711" s="113"/>
      <c r="I711" s="113"/>
      <c r="J711" s="113"/>
      <c r="K711" s="113"/>
      <c r="L711" s="113"/>
      <c r="M711" s="113"/>
      <c r="N711" s="113"/>
      <c r="O711" s="113"/>
      <c r="P711" s="113"/>
      <c r="Q711" s="113"/>
      <c r="R711" s="113"/>
      <c r="S711" s="113"/>
      <c r="T711" s="113"/>
      <c r="U711" s="113"/>
      <c r="V711" s="113"/>
      <c r="W711" s="113"/>
      <c r="X711" s="113"/>
      <c r="Y711" s="113"/>
      <c r="Z711" s="113"/>
    </row>
    <row r="712">
      <c r="A712" s="113"/>
      <c r="B712" s="113"/>
      <c r="C712" s="113"/>
      <c r="D712" s="113"/>
      <c r="E712" s="113"/>
      <c r="F712" s="113"/>
      <c r="G712" s="113"/>
      <c r="H712" s="113"/>
      <c r="I712" s="113"/>
      <c r="J712" s="113"/>
      <c r="K712" s="113"/>
      <c r="L712" s="113"/>
      <c r="M712" s="113"/>
      <c r="N712" s="113"/>
      <c r="O712" s="113"/>
      <c r="P712" s="113"/>
      <c r="Q712" s="113"/>
      <c r="R712" s="113"/>
      <c r="S712" s="113"/>
      <c r="T712" s="113"/>
      <c r="U712" s="113"/>
      <c r="V712" s="113"/>
      <c r="W712" s="113"/>
      <c r="X712" s="113"/>
      <c r="Y712" s="113"/>
      <c r="Z712" s="113"/>
    </row>
    <row r="713">
      <c r="A713" s="113"/>
      <c r="B713" s="113"/>
      <c r="C713" s="113"/>
      <c r="D713" s="113"/>
      <c r="E713" s="113"/>
      <c r="F713" s="113"/>
      <c r="G713" s="113"/>
      <c r="H713" s="113"/>
      <c r="I713" s="113"/>
      <c r="J713" s="113"/>
      <c r="K713" s="113"/>
      <c r="L713" s="113"/>
      <c r="M713" s="113"/>
      <c r="N713" s="113"/>
      <c r="O713" s="113"/>
      <c r="P713" s="113"/>
      <c r="Q713" s="113"/>
      <c r="R713" s="113"/>
      <c r="S713" s="113"/>
      <c r="T713" s="113"/>
      <c r="U713" s="113"/>
      <c r="V713" s="113"/>
      <c r="W713" s="113"/>
      <c r="X713" s="113"/>
      <c r="Y713" s="113"/>
      <c r="Z713" s="113"/>
    </row>
    <row r="714">
      <c r="A714" s="113"/>
      <c r="B714" s="113"/>
      <c r="C714" s="113"/>
      <c r="D714" s="113"/>
      <c r="E714" s="113"/>
      <c r="F714" s="113"/>
      <c r="G714" s="113"/>
      <c r="H714" s="113"/>
      <c r="I714" s="113"/>
      <c r="J714" s="113"/>
      <c r="K714" s="113"/>
      <c r="L714" s="113"/>
      <c r="M714" s="113"/>
      <c r="N714" s="113"/>
      <c r="O714" s="113"/>
      <c r="P714" s="113"/>
      <c r="Q714" s="113"/>
      <c r="R714" s="113"/>
      <c r="S714" s="113"/>
      <c r="T714" s="113"/>
      <c r="U714" s="113"/>
      <c r="V714" s="113"/>
      <c r="W714" s="113"/>
      <c r="X714" s="113"/>
      <c r="Y714" s="113"/>
      <c r="Z714" s="113"/>
    </row>
    <row r="715">
      <c r="A715" s="113"/>
      <c r="B715" s="113"/>
      <c r="C715" s="113"/>
      <c r="D715" s="113"/>
      <c r="E715" s="113"/>
      <c r="F715" s="113"/>
      <c r="G715" s="113"/>
      <c r="H715" s="113"/>
      <c r="I715" s="113"/>
      <c r="J715" s="113"/>
      <c r="K715" s="113"/>
      <c r="L715" s="113"/>
      <c r="M715" s="113"/>
      <c r="N715" s="113"/>
      <c r="O715" s="113"/>
      <c r="P715" s="113"/>
      <c r="Q715" s="113"/>
      <c r="R715" s="113"/>
      <c r="S715" s="113"/>
      <c r="T715" s="113"/>
      <c r="U715" s="113"/>
      <c r="V715" s="113"/>
      <c r="W715" s="113"/>
      <c r="X715" s="113"/>
      <c r="Y715" s="113"/>
      <c r="Z715" s="113"/>
    </row>
    <row r="716">
      <c r="A716" s="113"/>
      <c r="B716" s="113"/>
      <c r="C716" s="113"/>
      <c r="D716" s="113"/>
      <c r="E716" s="113"/>
      <c r="F716" s="113"/>
      <c r="G716" s="113"/>
      <c r="H716" s="113"/>
      <c r="I716" s="113"/>
      <c r="J716" s="113"/>
      <c r="K716" s="113"/>
      <c r="L716" s="113"/>
      <c r="M716" s="113"/>
      <c r="N716" s="113"/>
      <c r="O716" s="113"/>
      <c r="P716" s="113"/>
      <c r="Q716" s="113"/>
      <c r="R716" s="113"/>
      <c r="S716" s="113"/>
      <c r="T716" s="113"/>
      <c r="U716" s="113"/>
      <c r="V716" s="113"/>
      <c r="W716" s="113"/>
      <c r="X716" s="113"/>
      <c r="Y716" s="113"/>
      <c r="Z716" s="113"/>
    </row>
    <row r="717">
      <c r="A717" s="113"/>
      <c r="B717" s="113"/>
      <c r="C717" s="113"/>
      <c r="D717" s="113"/>
      <c r="E717" s="113"/>
      <c r="F717" s="113"/>
      <c r="G717" s="113"/>
      <c r="H717" s="113"/>
      <c r="I717" s="113"/>
      <c r="J717" s="113"/>
      <c r="K717" s="113"/>
      <c r="L717" s="113"/>
      <c r="M717" s="113"/>
      <c r="N717" s="113"/>
      <c r="O717" s="113"/>
      <c r="P717" s="113"/>
      <c r="Q717" s="113"/>
      <c r="R717" s="113"/>
      <c r="S717" s="113"/>
      <c r="T717" s="113"/>
      <c r="U717" s="113"/>
      <c r="V717" s="113"/>
      <c r="W717" s="113"/>
      <c r="X717" s="113"/>
      <c r="Y717" s="113"/>
      <c r="Z717" s="113"/>
    </row>
    <row r="718">
      <c r="A718" s="113"/>
      <c r="B718" s="113"/>
      <c r="C718" s="113"/>
      <c r="D718" s="113"/>
      <c r="E718" s="113"/>
      <c r="F718" s="113"/>
      <c r="G718" s="113"/>
      <c r="H718" s="113"/>
      <c r="I718" s="113"/>
      <c r="J718" s="113"/>
      <c r="K718" s="113"/>
      <c r="L718" s="113"/>
      <c r="M718" s="113"/>
      <c r="N718" s="113"/>
      <c r="O718" s="113"/>
      <c r="P718" s="113"/>
      <c r="Q718" s="113"/>
      <c r="R718" s="113"/>
      <c r="S718" s="113"/>
      <c r="T718" s="113"/>
      <c r="U718" s="113"/>
      <c r="V718" s="113"/>
      <c r="W718" s="113"/>
      <c r="X718" s="113"/>
      <c r="Y718" s="113"/>
      <c r="Z718" s="113"/>
    </row>
    <row r="719">
      <c r="A719" s="113"/>
      <c r="B719" s="113"/>
      <c r="C719" s="113"/>
      <c r="D719" s="113"/>
      <c r="E719" s="113"/>
      <c r="F719" s="113"/>
      <c r="G719" s="113"/>
      <c r="H719" s="113"/>
      <c r="I719" s="113"/>
      <c r="J719" s="113"/>
      <c r="K719" s="113"/>
      <c r="L719" s="113"/>
      <c r="M719" s="113"/>
      <c r="N719" s="113"/>
      <c r="O719" s="113"/>
      <c r="P719" s="113"/>
      <c r="Q719" s="113"/>
      <c r="R719" s="113"/>
      <c r="S719" s="113"/>
      <c r="T719" s="113"/>
      <c r="U719" s="113"/>
      <c r="V719" s="113"/>
      <c r="W719" s="113"/>
      <c r="X719" s="113"/>
      <c r="Y719" s="113"/>
      <c r="Z719" s="113"/>
    </row>
    <row r="720">
      <c r="A720" s="113"/>
      <c r="B720" s="113"/>
      <c r="C720" s="113"/>
      <c r="D720" s="113"/>
      <c r="E720" s="113"/>
      <c r="F720" s="113"/>
      <c r="G720" s="113"/>
      <c r="H720" s="113"/>
      <c r="I720" s="113"/>
      <c r="J720" s="113"/>
      <c r="K720" s="113"/>
      <c r="L720" s="113"/>
      <c r="M720" s="113"/>
      <c r="N720" s="113"/>
      <c r="O720" s="113"/>
      <c r="P720" s="113"/>
      <c r="Q720" s="113"/>
      <c r="R720" s="113"/>
      <c r="S720" s="113"/>
      <c r="T720" s="113"/>
      <c r="U720" s="113"/>
      <c r="V720" s="113"/>
      <c r="W720" s="113"/>
      <c r="X720" s="113"/>
      <c r="Y720" s="113"/>
      <c r="Z720" s="113"/>
    </row>
    <row r="721">
      <c r="A721" s="113"/>
      <c r="B721" s="113"/>
      <c r="C721" s="113"/>
      <c r="D721" s="113"/>
      <c r="E721" s="113"/>
      <c r="F721" s="113"/>
      <c r="G721" s="113"/>
      <c r="H721" s="113"/>
      <c r="I721" s="113"/>
      <c r="J721" s="113"/>
      <c r="K721" s="113"/>
      <c r="L721" s="113"/>
      <c r="M721" s="113"/>
      <c r="N721" s="113"/>
      <c r="O721" s="113"/>
      <c r="P721" s="113"/>
      <c r="Q721" s="113"/>
      <c r="R721" s="113"/>
      <c r="S721" s="113"/>
      <c r="T721" s="113"/>
      <c r="U721" s="113"/>
      <c r="V721" s="113"/>
      <c r="W721" s="113"/>
      <c r="X721" s="113"/>
      <c r="Y721" s="113"/>
      <c r="Z721" s="113"/>
    </row>
    <row r="722">
      <c r="A722" s="113"/>
      <c r="B722" s="113"/>
      <c r="C722" s="113"/>
      <c r="D722" s="113"/>
      <c r="E722" s="113"/>
      <c r="F722" s="113"/>
      <c r="G722" s="113"/>
      <c r="H722" s="113"/>
      <c r="I722" s="113"/>
      <c r="J722" s="113"/>
      <c r="K722" s="113"/>
      <c r="L722" s="113"/>
      <c r="M722" s="113"/>
      <c r="N722" s="113"/>
      <c r="O722" s="113"/>
      <c r="P722" s="113"/>
      <c r="Q722" s="113"/>
      <c r="R722" s="113"/>
      <c r="S722" s="113"/>
      <c r="T722" s="113"/>
      <c r="U722" s="113"/>
      <c r="V722" s="113"/>
      <c r="W722" s="113"/>
      <c r="X722" s="113"/>
      <c r="Y722" s="113"/>
      <c r="Z722" s="113"/>
    </row>
    <row r="723">
      <c r="A723" s="113"/>
      <c r="B723" s="113"/>
      <c r="C723" s="113"/>
      <c r="D723" s="113"/>
      <c r="E723" s="113"/>
      <c r="F723" s="113"/>
      <c r="G723" s="113"/>
      <c r="H723" s="113"/>
      <c r="I723" s="113"/>
      <c r="J723" s="113"/>
      <c r="K723" s="113"/>
      <c r="L723" s="113"/>
      <c r="M723" s="113"/>
      <c r="N723" s="113"/>
      <c r="O723" s="113"/>
      <c r="P723" s="113"/>
      <c r="Q723" s="113"/>
      <c r="R723" s="113"/>
      <c r="S723" s="113"/>
      <c r="T723" s="113"/>
      <c r="U723" s="113"/>
      <c r="V723" s="113"/>
      <c r="W723" s="113"/>
      <c r="X723" s="113"/>
      <c r="Y723" s="113"/>
      <c r="Z723" s="113"/>
    </row>
    <row r="724">
      <c r="A724" s="113"/>
      <c r="B724" s="113"/>
      <c r="C724" s="113"/>
      <c r="D724" s="113"/>
      <c r="E724" s="113"/>
      <c r="F724" s="113"/>
      <c r="G724" s="113"/>
      <c r="H724" s="113"/>
      <c r="I724" s="113"/>
      <c r="J724" s="113"/>
      <c r="K724" s="113"/>
      <c r="L724" s="113"/>
      <c r="M724" s="113"/>
      <c r="N724" s="113"/>
      <c r="O724" s="113"/>
      <c r="P724" s="113"/>
      <c r="Q724" s="113"/>
      <c r="R724" s="113"/>
      <c r="S724" s="113"/>
      <c r="T724" s="113"/>
      <c r="U724" s="113"/>
      <c r="V724" s="113"/>
      <c r="W724" s="113"/>
      <c r="X724" s="113"/>
      <c r="Y724" s="113"/>
      <c r="Z724" s="113"/>
    </row>
    <row r="725">
      <c r="A725" s="113"/>
      <c r="B725" s="113"/>
      <c r="C725" s="113"/>
      <c r="D725" s="113"/>
      <c r="E725" s="113"/>
      <c r="F725" s="113"/>
      <c r="G725" s="113"/>
      <c r="H725" s="113"/>
      <c r="I725" s="113"/>
      <c r="J725" s="113"/>
      <c r="K725" s="113"/>
      <c r="L725" s="113"/>
      <c r="M725" s="113"/>
      <c r="N725" s="113"/>
      <c r="O725" s="113"/>
      <c r="P725" s="113"/>
      <c r="Q725" s="113"/>
      <c r="R725" s="113"/>
      <c r="S725" s="113"/>
      <c r="T725" s="113"/>
      <c r="U725" s="113"/>
      <c r="V725" s="113"/>
      <c r="W725" s="113"/>
      <c r="X725" s="113"/>
      <c r="Y725" s="113"/>
      <c r="Z725" s="113"/>
    </row>
    <row r="726">
      <c r="A726" s="113"/>
      <c r="B726" s="113"/>
      <c r="C726" s="113"/>
      <c r="D726" s="113"/>
      <c r="E726" s="113"/>
      <c r="F726" s="113"/>
      <c r="G726" s="113"/>
      <c r="H726" s="113"/>
      <c r="I726" s="113"/>
      <c r="J726" s="113"/>
      <c r="K726" s="113"/>
      <c r="L726" s="113"/>
      <c r="M726" s="113"/>
      <c r="N726" s="113"/>
      <c r="O726" s="113"/>
      <c r="P726" s="113"/>
      <c r="Q726" s="113"/>
      <c r="R726" s="113"/>
      <c r="S726" s="113"/>
      <c r="T726" s="113"/>
      <c r="U726" s="113"/>
      <c r="V726" s="113"/>
      <c r="W726" s="113"/>
      <c r="X726" s="113"/>
      <c r="Y726" s="113"/>
      <c r="Z726" s="113"/>
    </row>
    <row r="727">
      <c r="A727" s="113"/>
      <c r="B727" s="113"/>
      <c r="C727" s="113"/>
      <c r="D727" s="113"/>
      <c r="E727" s="113"/>
      <c r="F727" s="113"/>
      <c r="G727" s="113"/>
      <c r="H727" s="113"/>
      <c r="I727" s="113"/>
      <c r="J727" s="113"/>
      <c r="K727" s="113"/>
      <c r="L727" s="113"/>
      <c r="M727" s="113"/>
      <c r="N727" s="113"/>
      <c r="O727" s="113"/>
      <c r="P727" s="113"/>
      <c r="Q727" s="113"/>
      <c r="R727" s="113"/>
      <c r="S727" s="113"/>
      <c r="T727" s="113"/>
      <c r="U727" s="113"/>
      <c r="V727" s="113"/>
      <c r="W727" s="113"/>
      <c r="X727" s="113"/>
      <c r="Y727" s="113"/>
      <c r="Z727" s="113"/>
    </row>
    <row r="728">
      <c r="A728" s="113"/>
      <c r="B728" s="113"/>
      <c r="C728" s="113"/>
      <c r="D728" s="113"/>
      <c r="E728" s="113"/>
      <c r="F728" s="113"/>
      <c r="G728" s="113"/>
      <c r="H728" s="113"/>
      <c r="I728" s="113"/>
      <c r="J728" s="113"/>
      <c r="K728" s="113"/>
      <c r="L728" s="113"/>
      <c r="M728" s="113"/>
      <c r="N728" s="113"/>
      <c r="O728" s="113"/>
      <c r="P728" s="113"/>
      <c r="Q728" s="113"/>
      <c r="R728" s="113"/>
      <c r="S728" s="113"/>
      <c r="T728" s="113"/>
      <c r="U728" s="113"/>
      <c r="V728" s="113"/>
      <c r="W728" s="113"/>
      <c r="X728" s="113"/>
      <c r="Y728" s="113"/>
      <c r="Z728" s="113"/>
    </row>
    <row r="729">
      <c r="A729" s="113"/>
      <c r="B729" s="113"/>
      <c r="C729" s="113"/>
      <c r="D729" s="113"/>
      <c r="E729" s="113"/>
      <c r="F729" s="113"/>
      <c r="G729" s="113"/>
      <c r="H729" s="113"/>
      <c r="I729" s="113"/>
      <c r="J729" s="113"/>
      <c r="K729" s="113"/>
      <c r="L729" s="113"/>
      <c r="M729" s="113"/>
      <c r="N729" s="113"/>
      <c r="O729" s="113"/>
      <c r="P729" s="113"/>
      <c r="Q729" s="113"/>
      <c r="R729" s="113"/>
      <c r="S729" s="113"/>
      <c r="T729" s="113"/>
      <c r="U729" s="113"/>
      <c r="V729" s="113"/>
      <c r="W729" s="113"/>
      <c r="X729" s="113"/>
      <c r="Y729" s="113"/>
      <c r="Z729" s="113"/>
    </row>
    <row r="730">
      <c r="A730" s="113"/>
      <c r="B730" s="113"/>
      <c r="C730" s="113"/>
      <c r="D730" s="113"/>
      <c r="E730" s="113"/>
      <c r="F730" s="113"/>
      <c r="G730" s="113"/>
      <c r="H730" s="113"/>
      <c r="I730" s="113"/>
      <c r="J730" s="113"/>
      <c r="K730" s="113"/>
      <c r="L730" s="113"/>
      <c r="M730" s="113"/>
      <c r="N730" s="113"/>
      <c r="O730" s="113"/>
      <c r="P730" s="113"/>
      <c r="Q730" s="113"/>
      <c r="R730" s="113"/>
      <c r="S730" s="113"/>
      <c r="T730" s="113"/>
      <c r="U730" s="113"/>
      <c r="V730" s="113"/>
      <c r="W730" s="113"/>
      <c r="X730" s="113"/>
      <c r="Y730" s="113"/>
      <c r="Z730" s="113"/>
    </row>
    <row r="731">
      <c r="A731" s="113"/>
      <c r="B731" s="113"/>
      <c r="C731" s="113"/>
      <c r="D731" s="113"/>
      <c r="E731" s="113"/>
      <c r="F731" s="113"/>
      <c r="G731" s="113"/>
      <c r="H731" s="113"/>
      <c r="I731" s="113"/>
      <c r="J731" s="113"/>
      <c r="K731" s="113"/>
      <c r="L731" s="113"/>
      <c r="M731" s="113"/>
      <c r="N731" s="113"/>
      <c r="O731" s="113"/>
      <c r="P731" s="113"/>
      <c r="Q731" s="113"/>
      <c r="R731" s="113"/>
      <c r="S731" s="113"/>
      <c r="T731" s="113"/>
      <c r="U731" s="113"/>
      <c r="V731" s="113"/>
      <c r="W731" s="113"/>
      <c r="X731" s="113"/>
      <c r="Y731" s="113"/>
      <c r="Z731" s="113"/>
    </row>
    <row r="732">
      <c r="A732" s="113"/>
      <c r="B732" s="113"/>
      <c r="C732" s="113"/>
      <c r="D732" s="113"/>
      <c r="E732" s="113"/>
      <c r="F732" s="113"/>
      <c r="G732" s="113"/>
      <c r="H732" s="113"/>
      <c r="I732" s="113"/>
      <c r="J732" s="113"/>
      <c r="K732" s="113"/>
      <c r="L732" s="113"/>
      <c r="M732" s="113"/>
      <c r="N732" s="113"/>
      <c r="O732" s="113"/>
      <c r="P732" s="113"/>
      <c r="Q732" s="113"/>
      <c r="R732" s="113"/>
      <c r="S732" s="113"/>
      <c r="T732" s="113"/>
      <c r="U732" s="113"/>
      <c r="V732" s="113"/>
      <c r="W732" s="113"/>
      <c r="X732" s="113"/>
      <c r="Y732" s="113"/>
      <c r="Z732" s="113"/>
    </row>
    <row r="733">
      <c r="A733" s="113"/>
      <c r="B733" s="113"/>
      <c r="C733" s="113"/>
      <c r="D733" s="113"/>
      <c r="E733" s="113"/>
      <c r="F733" s="113"/>
      <c r="G733" s="113"/>
      <c r="H733" s="113"/>
      <c r="I733" s="113"/>
      <c r="J733" s="113"/>
      <c r="K733" s="113"/>
      <c r="L733" s="113"/>
      <c r="M733" s="113"/>
      <c r="N733" s="113"/>
      <c r="O733" s="113"/>
      <c r="P733" s="113"/>
      <c r="Q733" s="113"/>
      <c r="R733" s="113"/>
      <c r="S733" s="113"/>
      <c r="T733" s="113"/>
      <c r="U733" s="113"/>
      <c r="V733" s="113"/>
      <c r="W733" s="113"/>
      <c r="X733" s="113"/>
      <c r="Y733" s="113"/>
      <c r="Z733" s="113"/>
    </row>
    <row r="734">
      <c r="A734" s="113"/>
      <c r="B734" s="113"/>
      <c r="C734" s="113"/>
      <c r="D734" s="113"/>
      <c r="E734" s="113"/>
      <c r="F734" s="113"/>
      <c r="G734" s="113"/>
      <c r="H734" s="113"/>
      <c r="I734" s="113"/>
      <c r="J734" s="113"/>
      <c r="K734" s="113"/>
      <c r="L734" s="113"/>
      <c r="M734" s="113"/>
      <c r="N734" s="113"/>
      <c r="O734" s="113"/>
      <c r="P734" s="113"/>
      <c r="Q734" s="113"/>
      <c r="R734" s="113"/>
      <c r="S734" s="113"/>
      <c r="T734" s="113"/>
      <c r="U734" s="113"/>
      <c r="V734" s="113"/>
      <c r="W734" s="113"/>
      <c r="X734" s="113"/>
      <c r="Y734" s="113"/>
      <c r="Z734" s="113"/>
    </row>
    <row r="735">
      <c r="A735" s="113"/>
      <c r="B735" s="113"/>
      <c r="C735" s="113"/>
      <c r="D735" s="113"/>
      <c r="E735" s="113"/>
      <c r="F735" s="113"/>
      <c r="G735" s="113"/>
      <c r="H735" s="113"/>
      <c r="I735" s="113"/>
      <c r="J735" s="113"/>
      <c r="K735" s="113"/>
      <c r="L735" s="113"/>
      <c r="M735" s="113"/>
      <c r="N735" s="113"/>
      <c r="O735" s="113"/>
      <c r="P735" s="113"/>
      <c r="Q735" s="113"/>
      <c r="R735" s="113"/>
      <c r="S735" s="113"/>
      <c r="T735" s="113"/>
      <c r="U735" s="113"/>
      <c r="V735" s="113"/>
      <c r="W735" s="113"/>
      <c r="X735" s="113"/>
      <c r="Y735" s="113"/>
      <c r="Z735" s="113"/>
    </row>
    <row r="736">
      <c r="A736" s="113"/>
      <c r="B736" s="113"/>
      <c r="C736" s="113"/>
      <c r="D736" s="113"/>
      <c r="E736" s="113"/>
      <c r="F736" s="113"/>
      <c r="G736" s="113"/>
      <c r="H736" s="113"/>
      <c r="I736" s="113"/>
      <c r="J736" s="113"/>
      <c r="K736" s="113"/>
      <c r="L736" s="113"/>
      <c r="M736" s="113"/>
      <c r="N736" s="113"/>
      <c r="O736" s="113"/>
      <c r="P736" s="113"/>
      <c r="Q736" s="113"/>
      <c r="R736" s="113"/>
      <c r="S736" s="113"/>
      <c r="T736" s="113"/>
      <c r="U736" s="113"/>
      <c r="V736" s="113"/>
      <c r="W736" s="113"/>
      <c r="X736" s="113"/>
      <c r="Y736" s="113"/>
      <c r="Z736" s="113"/>
    </row>
    <row r="737">
      <c r="A737" s="113"/>
      <c r="B737" s="113"/>
      <c r="C737" s="113"/>
      <c r="D737" s="113"/>
      <c r="E737" s="113"/>
      <c r="F737" s="113"/>
      <c r="G737" s="113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  <c r="R737" s="113"/>
      <c r="S737" s="113"/>
      <c r="T737" s="113"/>
      <c r="U737" s="113"/>
      <c r="V737" s="113"/>
      <c r="W737" s="113"/>
      <c r="X737" s="113"/>
      <c r="Y737" s="113"/>
      <c r="Z737" s="113"/>
    </row>
    <row r="738">
      <c r="A738" s="113"/>
      <c r="B738" s="113"/>
      <c r="C738" s="113"/>
      <c r="D738" s="113"/>
      <c r="E738" s="113"/>
      <c r="F738" s="113"/>
      <c r="G738" s="113"/>
      <c r="H738" s="113"/>
      <c r="I738" s="113"/>
      <c r="J738" s="113"/>
      <c r="K738" s="113"/>
      <c r="L738" s="113"/>
      <c r="M738" s="113"/>
      <c r="N738" s="113"/>
      <c r="O738" s="113"/>
      <c r="P738" s="113"/>
      <c r="Q738" s="113"/>
      <c r="R738" s="113"/>
      <c r="S738" s="113"/>
      <c r="T738" s="113"/>
      <c r="U738" s="113"/>
      <c r="V738" s="113"/>
      <c r="W738" s="113"/>
      <c r="X738" s="113"/>
      <c r="Y738" s="113"/>
      <c r="Z738" s="113"/>
    </row>
    <row r="739">
      <c r="A739" s="113"/>
      <c r="B739" s="113"/>
      <c r="C739" s="113"/>
      <c r="D739" s="113"/>
      <c r="E739" s="113"/>
      <c r="F739" s="113"/>
      <c r="G739" s="113"/>
      <c r="H739" s="113"/>
      <c r="I739" s="113"/>
      <c r="J739" s="113"/>
      <c r="K739" s="113"/>
      <c r="L739" s="113"/>
      <c r="M739" s="113"/>
      <c r="N739" s="113"/>
      <c r="O739" s="113"/>
      <c r="P739" s="113"/>
      <c r="Q739" s="113"/>
      <c r="R739" s="113"/>
      <c r="S739" s="113"/>
      <c r="T739" s="113"/>
      <c r="U739" s="113"/>
      <c r="V739" s="113"/>
      <c r="W739" s="113"/>
      <c r="X739" s="113"/>
      <c r="Y739" s="113"/>
      <c r="Z739" s="113"/>
    </row>
    <row r="740">
      <c r="A740" s="113"/>
      <c r="B740" s="113"/>
      <c r="C740" s="113"/>
      <c r="D740" s="113"/>
      <c r="E740" s="113"/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  <c r="P740" s="113"/>
      <c r="Q740" s="113"/>
      <c r="R740" s="113"/>
      <c r="S740" s="113"/>
      <c r="T740" s="113"/>
      <c r="U740" s="113"/>
      <c r="V740" s="113"/>
      <c r="W740" s="113"/>
      <c r="X740" s="113"/>
      <c r="Y740" s="113"/>
      <c r="Z740" s="113"/>
    </row>
    <row r="741">
      <c r="A741" s="113"/>
      <c r="B741" s="113"/>
      <c r="C741" s="113"/>
      <c r="D741" s="113"/>
      <c r="E741" s="113"/>
      <c r="F741" s="113"/>
      <c r="G741" s="113"/>
      <c r="H741" s="113"/>
      <c r="I741" s="113"/>
      <c r="J741" s="113"/>
      <c r="K741" s="113"/>
      <c r="L741" s="113"/>
      <c r="M741" s="113"/>
      <c r="N741" s="113"/>
      <c r="O741" s="113"/>
      <c r="P741" s="113"/>
      <c r="Q741" s="113"/>
      <c r="R741" s="113"/>
      <c r="S741" s="113"/>
      <c r="T741" s="113"/>
      <c r="U741" s="113"/>
      <c r="V741" s="113"/>
      <c r="W741" s="113"/>
      <c r="X741" s="113"/>
      <c r="Y741" s="113"/>
      <c r="Z741" s="113"/>
    </row>
    <row r="742">
      <c r="A742" s="113"/>
      <c r="B742" s="113"/>
      <c r="C742" s="113"/>
      <c r="D742" s="113"/>
      <c r="E742" s="113"/>
      <c r="F742" s="113"/>
      <c r="G742" s="113"/>
      <c r="H742" s="113"/>
      <c r="I742" s="113"/>
      <c r="J742" s="113"/>
      <c r="K742" s="113"/>
      <c r="L742" s="113"/>
      <c r="M742" s="113"/>
      <c r="N742" s="113"/>
      <c r="O742" s="113"/>
      <c r="P742" s="113"/>
      <c r="Q742" s="113"/>
      <c r="R742" s="113"/>
      <c r="S742" s="113"/>
      <c r="T742" s="113"/>
      <c r="U742" s="113"/>
      <c r="V742" s="113"/>
      <c r="W742" s="113"/>
      <c r="X742" s="113"/>
      <c r="Y742" s="113"/>
      <c r="Z742" s="113"/>
    </row>
    <row r="743">
      <c r="A743" s="113"/>
      <c r="B743" s="113"/>
      <c r="C743" s="113"/>
      <c r="D743" s="113"/>
      <c r="E743" s="113"/>
      <c r="F743" s="113"/>
      <c r="G743" s="113"/>
      <c r="H743" s="113"/>
      <c r="I743" s="113"/>
      <c r="J743" s="113"/>
      <c r="K743" s="113"/>
      <c r="L743" s="113"/>
      <c r="M743" s="113"/>
      <c r="N743" s="113"/>
      <c r="O743" s="113"/>
      <c r="P743" s="113"/>
      <c r="Q743" s="113"/>
      <c r="R743" s="113"/>
      <c r="S743" s="113"/>
      <c r="T743" s="113"/>
      <c r="U743" s="113"/>
      <c r="V743" s="113"/>
      <c r="W743" s="113"/>
      <c r="X743" s="113"/>
      <c r="Y743" s="113"/>
      <c r="Z743" s="113"/>
    </row>
    <row r="744">
      <c r="A744" s="113"/>
      <c r="B744" s="113"/>
      <c r="C744" s="113"/>
      <c r="D744" s="113"/>
      <c r="E744" s="113"/>
      <c r="F744" s="113"/>
      <c r="G744" s="113"/>
      <c r="H744" s="113"/>
      <c r="I744" s="113"/>
      <c r="J744" s="113"/>
      <c r="K744" s="113"/>
      <c r="L744" s="113"/>
      <c r="M744" s="113"/>
      <c r="N744" s="113"/>
      <c r="O744" s="113"/>
      <c r="P744" s="113"/>
      <c r="Q744" s="113"/>
      <c r="R744" s="113"/>
      <c r="S744" s="113"/>
      <c r="T744" s="113"/>
      <c r="U744" s="113"/>
      <c r="V744" s="113"/>
      <c r="W744" s="113"/>
      <c r="X744" s="113"/>
      <c r="Y744" s="113"/>
      <c r="Z744" s="113"/>
    </row>
    <row r="745">
      <c r="A745" s="113"/>
      <c r="B745" s="113"/>
      <c r="C745" s="113"/>
      <c r="D745" s="113"/>
      <c r="E745" s="113"/>
      <c r="F745" s="113"/>
      <c r="G745" s="113"/>
      <c r="H745" s="113"/>
      <c r="I745" s="113"/>
      <c r="J745" s="113"/>
      <c r="K745" s="113"/>
      <c r="L745" s="113"/>
      <c r="M745" s="113"/>
      <c r="N745" s="113"/>
      <c r="O745" s="113"/>
      <c r="P745" s="113"/>
      <c r="Q745" s="113"/>
      <c r="R745" s="113"/>
      <c r="S745" s="113"/>
      <c r="T745" s="113"/>
      <c r="U745" s="113"/>
      <c r="V745" s="113"/>
      <c r="W745" s="113"/>
      <c r="X745" s="113"/>
      <c r="Y745" s="113"/>
      <c r="Z745" s="113"/>
    </row>
    <row r="746">
      <c r="A746" s="113"/>
      <c r="B746" s="113"/>
      <c r="C746" s="113"/>
      <c r="D746" s="113"/>
      <c r="E746" s="113"/>
      <c r="F746" s="113"/>
      <c r="G746" s="113"/>
      <c r="H746" s="113"/>
      <c r="I746" s="113"/>
      <c r="J746" s="113"/>
      <c r="K746" s="113"/>
      <c r="L746" s="113"/>
      <c r="M746" s="113"/>
      <c r="N746" s="113"/>
      <c r="O746" s="113"/>
      <c r="P746" s="113"/>
      <c r="Q746" s="113"/>
      <c r="R746" s="113"/>
      <c r="S746" s="113"/>
      <c r="T746" s="113"/>
      <c r="U746" s="113"/>
      <c r="V746" s="113"/>
      <c r="W746" s="113"/>
      <c r="X746" s="113"/>
      <c r="Y746" s="113"/>
      <c r="Z746" s="113"/>
    </row>
    <row r="747">
      <c r="A747" s="113"/>
      <c r="B747" s="113"/>
      <c r="C747" s="113"/>
      <c r="D747" s="113"/>
      <c r="E747" s="113"/>
      <c r="F747" s="113"/>
      <c r="G747" s="113"/>
      <c r="H747" s="113"/>
      <c r="I747" s="113"/>
      <c r="J747" s="113"/>
      <c r="K747" s="113"/>
      <c r="L747" s="113"/>
      <c r="M747" s="113"/>
      <c r="N747" s="113"/>
      <c r="O747" s="113"/>
      <c r="P747" s="113"/>
      <c r="Q747" s="113"/>
      <c r="R747" s="113"/>
      <c r="S747" s="113"/>
      <c r="T747" s="113"/>
      <c r="U747" s="113"/>
      <c r="V747" s="113"/>
      <c r="W747" s="113"/>
      <c r="X747" s="113"/>
      <c r="Y747" s="113"/>
      <c r="Z747" s="113"/>
    </row>
    <row r="748">
      <c r="A748" s="113"/>
      <c r="B748" s="113"/>
      <c r="C748" s="113"/>
      <c r="D748" s="113"/>
      <c r="E748" s="113"/>
      <c r="F748" s="113"/>
      <c r="G748" s="113"/>
      <c r="H748" s="113"/>
      <c r="I748" s="113"/>
      <c r="J748" s="113"/>
      <c r="K748" s="113"/>
      <c r="L748" s="113"/>
      <c r="M748" s="113"/>
      <c r="N748" s="113"/>
      <c r="O748" s="113"/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3"/>
    </row>
    <row r="749">
      <c r="A749" s="113"/>
      <c r="B749" s="113"/>
      <c r="C749" s="113"/>
      <c r="D749" s="113"/>
      <c r="E749" s="113"/>
      <c r="F749" s="113"/>
      <c r="G749" s="113"/>
      <c r="H749" s="113"/>
      <c r="I749" s="113"/>
      <c r="J749" s="113"/>
      <c r="K749" s="113"/>
      <c r="L749" s="113"/>
      <c r="M749" s="113"/>
      <c r="N749" s="113"/>
      <c r="O749" s="113"/>
      <c r="P749" s="113"/>
      <c r="Q749" s="113"/>
      <c r="R749" s="113"/>
      <c r="S749" s="113"/>
      <c r="T749" s="113"/>
      <c r="U749" s="113"/>
      <c r="V749" s="113"/>
      <c r="W749" s="113"/>
      <c r="X749" s="113"/>
      <c r="Y749" s="113"/>
      <c r="Z749" s="113"/>
    </row>
    <row r="750">
      <c r="A750" s="113"/>
      <c r="B750" s="113"/>
      <c r="C750" s="113"/>
      <c r="D750" s="113"/>
      <c r="E750" s="113"/>
      <c r="F750" s="113"/>
      <c r="G750" s="113"/>
      <c r="H750" s="113"/>
      <c r="I750" s="113"/>
      <c r="J750" s="113"/>
      <c r="K750" s="113"/>
      <c r="L750" s="113"/>
      <c r="M750" s="113"/>
      <c r="N750" s="113"/>
      <c r="O750" s="113"/>
      <c r="P750" s="113"/>
      <c r="Q750" s="113"/>
      <c r="R750" s="113"/>
      <c r="S750" s="113"/>
      <c r="T750" s="113"/>
      <c r="U750" s="113"/>
      <c r="V750" s="113"/>
      <c r="W750" s="113"/>
      <c r="X750" s="113"/>
      <c r="Y750" s="113"/>
      <c r="Z750" s="113"/>
    </row>
    <row r="751">
      <c r="A751" s="113"/>
      <c r="B751" s="113"/>
      <c r="C751" s="113"/>
      <c r="D751" s="113"/>
      <c r="E751" s="113"/>
      <c r="F751" s="113"/>
      <c r="G751" s="113"/>
      <c r="H751" s="113"/>
      <c r="I751" s="113"/>
      <c r="J751" s="113"/>
      <c r="K751" s="113"/>
      <c r="L751" s="113"/>
      <c r="M751" s="113"/>
      <c r="N751" s="113"/>
      <c r="O751" s="113"/>
      <c r="P751" s="113"/>
      <c r="Q751" s="113"/>
      <c r="R751" s="113"/>
      <c r="S751" s="113"/>
      <c r="T751" s="113"/>
      <c r="U751" s="113"/>
      <c r="V751" s="113"/>
      <c r="W751" s="113"/>
      <c r="X751" s="113"/>
      <c r="Y751" s="113"/>
      <c r="Z751" s="113"/>
    </row>
    <row r="752">
      <c r="A752" s="113"/>
      <c r="B752" s="113"/>
      <c r="C752" s="113"/>
      <c r="D752" s="113"/>
      <c r="E752" s="113"/>
      <c r="F752" s="113"/>
      <c r="G752" s="113"/>
      <c r="H752" s="113"/>
      <c r="I752" s="113"/>
      <c r="J752" s="113"/>
      <c r="K752" s="113"/>
      <c r="L752" s="113"/>
      <c r="M752" s="113"/>
      <c r="N752" s="113"/>
      <c r="O752" s="113"/>
      <c r="P752" s="113"/>
      <c r="Q752" s="113"/>
      <c r="R752" s="113"/>
      <c r="S752" s="113"/>
      <c r="T752" s="113"/>
      <c r="U752" s="113"/>
      <c r="V752" s="113"/>
      <c r="W752" s="113"/>
      <c r="X752" s="113"/>
      <c r="Y752" s="113"/>
      <c r="Z752" s="113"/>
    </row>
    <row r="753">
      <c r="A753" s="113"/>
      <c r="B753" s="113"/>
      <c r="C753" s="113"/>
      <c r="D753" s="113"/>
      <c r="E753" s="113"/>
      <c r="F753" s="113"/>
      <c r="G753" s="113"/>
      <c r="H753" s="113"/>
      <c r="I753" s="113"/>
      <c r="J753" s="113"/>
      <c r="K753" s="113"/>
      <c r="L753" s="113"/>
      <c r="M753" s="113"/>
      <c r="N753" s="113"/>
      <c r="O753" s="113"/>
      <c r="P753" s="113"/>
      <c r="Q753" s="113"/>
      <c r="R753" s="113"/>
      <c r="S753" s="113"/>
      <c r="T753" s="113"/>
      <c r="U753" s="113"/>
      <c r="V753" s="113"/>
      <c r="W753" s="113"/>
      <c r="X753" s="113"/>
      <c r="Y753" s="113"/>
      <c r="Z753" s="113"/>
    </row>
    <row r="754">
      <c r="A754" s="113"/>
      <c r="B754" s="113"/>
      <c r="C754" s="113"/>
      <c r="D754" s="113"/>
      <c r="E754" s="113"/>
      <c r="F754" s="113"/>
      <c r="G754" s="113"/>
      <c r="H754" s="113"/>
      <c r="I754" s="113"/>
      <c r="J754" s="113"/>
      <c r="K754" s="113"/>
      <c r="L754" s="113"/>
      <c r="M754" s="113"/>
      <c r="N754" s="113"/>
      <c r="O754" s="113"/>
      <c r="P754" s="113"/>
      <c r="Q754" s="113"/>
      <c r="R754" s="113"/>
      <c r="S754" s="113"/>
      <c r="T754" s="113"/>
      <c r="U754" s="113"/>
      <c r="V754" s="113"/>
      <c r="W754" s="113"/>
      <c r="X754" s="113"/>
      <c r="Y754" s="113"/>
      <c r="Z754" s="113"/>
    </row>
    <row r="755">
      <c r="A755" s="113"/>
      <c r="B755" s="113"/>
      <c r="C755" s="113"/>
      <c r="D755" s="113"/>
      <c r="E755" s="113"/>
      <c r="F755" s="113"/>
      <c r="G755" s="113"/>
      <c r="H755" s="113"/>
      <c r="I755" s="113"/>
      <c r="J755" s="113"/>
      <c r="K755" s="113"/>
      <c r="L755" s="113"/>
      <c r="M755" s="113"/>
      <c r="N755" s="113"/>
      <c r="O755" s="113"/>
      <c r="P755" s="113"/>
      <c r="Q755" s="113"/>
      <c r="R755" s="113"/>
      <c r="S755" s="113"/>
      <c r="T755" s="113"/>
      <c r="U755" s="113"/>
      <c r="V755" s="113"/>
      <c r="W755" s="113"/>
      <c r="X755" s="113"/>
      <c r="Y755" s="113"/>
      <c r="Z755" s="113"/>
    </row>
    <row r="756">
      <c r="A756" s="113"/>
      <c r="B756" s="113"/>
      <c r="C756" s="113"/>
      <c r="D756" s="113"/>
      <c r="E756" s="113"/>
      <c r="F756" s="113"/>
      <c r="G756" s="113"/>
      <c r="H756" s="113"/>
      <c r="I756" s="113"/>
      <c r="J756" s="113"/>
      <c r="K756" s="113"/>
      <c r="L756" s="113"/>
      <c r="M756" s="113"/>
      <c r="N756" s="113"/>
      <c r="O756" s="113"/>
      <c r="P756" s="113"/>
      <c r="Q756" s="113"/>
      <c r="R756" s="113"/>
      <c r="S756" s="113"/>
      <c r="T756" s="113"/>
      <c r="U756" s="113"/>
      <c r="V756" s="113"/>
      <c r="W756" s="113"/>
      <c r="X756" s="113"/>
      <c r="Y756" s="113"/>
      <c r="Z756" s="113"/>
    </row>
    <row r="757">
      <c r="A757" s="113"/>
      <c r="B757" s="113"/>
      <c r="C757" s="113"/>
      <c r="D757" s="113"/>
      <c r="E757" s="113"/>
      <c r="F757" s="113"/>
      <c r="G757" s="113"/>
      <c r="H757" s="113"/>
      <c r="I757" s="113"/>
      <c r="J757" s="113"/>
      <c r="K757" s="113"/>
      <c r="L757" s="113"/>
      <c r="M757" s="113"/>
      <c r="N757" s="113"/>
      <c r="O757" s="113"/>
      <c r="P757" s="113"/>
      <c r="Q757" s="113"/>
      <c r="R757" s="113"/>
      <c r="S757" s="113"/>
      <c r="T757" s="113"/>
      <c r="U757" s="113"/>
      <c r="V757" s="113"/>
      <c r="W757" s="113"/>
      <c r="X757" s="113"/>
      <c r="Y757" s="113"/>
      <c r="Z757" s="113"/>
    </row>
    <row r="758">
      <c r="A758" s="113"/>
      <c r="B758" s="113"/>
      <c r="C758" s="113"/>
      <c r="D758" s="113"/>
      <c r="E758" s="113"/>
      <c r="F758" s="113"/>
      <c r="G758" s="113"/>
      <c r="H758" s="113"/>
      <c r="I758" s="113"/>
      <c r="J758" s="113"/>
      <c r="K758" s="113"/>
      <c r="L758" s="113"/>
      <c r="M758" s="113"/>
      <c r="N758" s="113"/>
      <c r="O758" s="113"/>
      <c r="P758" s="113"/>
      <c r="Q758" s="113"/>
      <c r="R758" s="113"/>
      <c r="S758" s="113"/>
      <c r="T758" s="113"/>
      <c r="U758" s="113"/>
      <c r="V758" s="113"/>
      <c r="W758" s="113"/>
      <c r="X758" s="113"/>
      <c r="Y758" s="113"/>
      <c r="Z758" s="113"/>
    </row>
    <row r="759">
      <c r="A759" s="113"/>
      <c r="B759" s="113"/>
      <c r="C759" s="113"/>
      <c r="D759" s="113"/>
      <c r="E759" s="113"/>
      <c r="F759" s="113"/>
      <c r="G759" s="113"/>
      <c r="H759" s="113"/>
      <c r="I759" s="113"/>
      <c r="J759" s="113"/>
      <c r="K759" s="113"/>
      <c r="L759" s="113"/>
      <c r="M759" s="113"/>
      <c r="N759" s="113"/>
      <c r="O759" s="113"/>
      <c r="P759" s="113"/>
      <c r="Q759" s="113"/>
      <c r="R759" s="113"/>
      <c r="S759" s="113"/>
      <c r="T759" s="113"/>
      <c r="U759" s="113"/>
      <c r="V759" s="113"/>
      <c r="W759" s="113"/>
      <c r="X759" s="113"/>
      <c r="Y759" s="113"/>
      <c r="Z759" s="113"/>
    </row>
    <row r="760">
      <c r="A760" s="113"/>
      <c r="B760" s="113"/>
      <c r="C760" s="113"/>
      <c r="D760" s="113"/>
      <c r="E760" s="113"/>
      <c r="F760" s="113"/>
      <c r="G760" s="113"/>
      <c r="H760" s="113"/>
      <c r="I760" s="113"/>
      <c r="J760" s="113"/>
      <c r="K760" s="113"/>
      <c r="L760" s="113"/>
      <c r="M760" s="113"/>
      <c r="N760" s="113"/>
      <c r="O760" s="113"/>
      <c r="P760" s="113"/>
      <c r="Q760" s="113"/>
      <c r="R760" s="113"/>
      <c r="S760" s="113"/>
      <c r="T760" s="113"/>
      <c r="U760" s="113"/>
      <c r="V760" s="113"/>
      <c r="W760" s="113"/>
      <c r="X760" s="113"/>
      <c r="Y760" s="113"/>
      <c r="Z760" s="113"/>
    </row>
    <row r="761">
      <c r="A761" s="113"/>
      <c r="B761" s="113"/>
      <c r="C761" s="113"/>
      <c r="D761" s="113"/>
      <c r="E761" s="113"/>
      <c r="F761" s="113"/>
      <c r="G761" s="113"/>
      <c r="H761" s="113"/>
      <c r="I761" s="113"/>
      <c r="J761" s="113"/>
      <c r="K761" s="113"/>
      <c r="L761" s="113"/>
      <c r="M761" s="113"/>
      <c r="N761" s="113"/>
      <c r="O761" s="113"/>
      <c r="P761" s="113"/>
      <c r="Q761" s="113"/>
      <c r="R761" s="113"/>
      <c r="S761" s="113"/>
      <c r="T761" s="113"/>
      <c r="U761" s="113"/>
      <c r="V761" s="113"/>
      <c r="W761" s="113"/>
      <c r="X761" s="113"/>
      <c r="Y761" s="113"/>
      <c r="Z761" s="113"/>
    </row>
    <row r="762">
      <c r="A762" s="113"/>
      <c r="B762" s="113"/>
      <c r="C762" s="113"/>
      <c r="D762" s="113"/>
      <c r="E762" s="113"/>
      <c r="F762" s="113"/>
      <c r="G762" s="113"/>
      <c r="H762" s="113"/>
      <c r="I762" s="113"/>
      <c r="J762" s="113"/>
      <c r="K762" s="113"/>
      <c r="L762" s="113"/>
      <c r="M762" s="113"/>
      <c r="N762" s="113"/>
      <c r="O762" s="113"/>
      <c r="P762" s="113"/>
      <c r="Q762" s="113"/>
      <c r="R762" s="113"/>
      <c r="S762" s="113"/>
      <c r="T762" s="113"/>
      <c r="U762" s="113"/>
      <c r="V762" s="113"/>
      <c r="W762" s="113"/>
      <c r="X762" s="113"/>
      <c r="Y762" s="113"/>
      <c r="Z762" s="113"/>
    </row>
    <row r="763">
      <c r="A763" s="113"/>
      <c r="B763" s="113"/>
      <c r="C763" s="113"/>
      <c r="D763" s="113"/>
      <c r="E763" s="113"/>
      <c r="F763" s="113"/>
      <c r="G763" s="113"/>
      <c r="H763" s="113"/>
      <c r="I763" s="113"/>
      <c r="J763" s="113"/>
      <c r="K763" s="113"/>
      <c r="L763" s="113"/>
      <c r="M763" s="113"/>
      <c r="N763" s="113"/>
      <c r="O763" s="113"/>
      <c r="P763" s="113"/>
      <c r="Q763" s="113"/>
      <c r="R763" s="113"/>
      <c r="S763" s="113"/>
      <c r="T763" s="113"/>
      <c r="U763" s="113"/>
      <c r="V763" s="113"/>
      <c r="W763" s="113"/>
      <c r="X763" s="113"/>
      <c r="Y763" s="113"/>
      <c r="Z763" s="113"/>
    </row>
    <row r="764">
      <c r="A764" s="113"/>
      <c r="B764" s="113"/>
      <c r="C764" s="113"/>
      <c r="D764" s="113"/>
      <c r="E764" s="113"/>
      <c r="F764" s="113"/>
      <c r="G764" s="113"/>
      <c r="H764" s="113"/>
      <c r="I764" s="113"/>
      <c r="J764" s="113"/>
      <c r="K764" s="113"/>
      <c r="L764" s="113"/>
      <c r="M764" s="113"/>
      <c r="N764" s="113"/>
      <c r="O764" s="113"/>
      <c r="P764" s="113"/>
      <c r="Q764" s="113"/>
      <c r="R764" s="113"/>
      <c r="S764" s="113"/>
      <c r="T764" s="113"/>
      <c r="U764" s="113"/>
      <c r="V764" s="113"/>
      <c r="W764" s="113"/>
      <c r="X764" s="113"/>
      <c r="Y764" s="113"/>
      <c r="Z764" s="113"/>
    </row>
    <row r="765">
      <c r="A765" s="113"/>
      <c r="B765" s="113"/>
      <c r="C765" s="113"/>
      <c r="D765" s="113"/>
      <c r="E765" s="113"/>
      <c r="F765" s="113"/>
      <c r="G765" s="113"/>
      <c r="H765" s="113"/>
      <c r="I765" s="113"/>
      <c r="J765" s="113"/>
      <c r="K765" s="113"/>
      <c r="L765" s="113"/>
      <c r="M765" s="113"/>
      <c r="N765" s="113"/>
      <c r="O765" s="113"/>
      <c r="P765" s="113"/>
      <c r="Q765" s="113"/>
      <c r="R765" s="113"/>
      <c r="S765" s="113"/>
      <c r="T765" s="113"/>
      <c r="U765" s="113"/>
      <c r="V765" s="113"/>
      <c r="W765" s="113"/>
      <c r="X765" s="113"/>
      <c r="Y765" s="113"/>
      <c r="Z765" s="113"/>
    </row>
    <row r="766">
      <c r="A766" s="113"/>
      <c r="B766" s="113"/>
      <c r="C766" s="113"/>
      <c r="D766" s="113"/>
      <c r="E766" s="113"/>
      <c r="F766" s="113"/>
      <c r="G766" s="113"/>
      <c r="H766" s="113"/>
      <c r="I766" s="113"/>
      <c r="J766" s="113"/>
      <c r="K766" s="113"/>
      <c r="L766" s="113"/>
      <c r="M766" s="113"/>
      <c r="N766" s="113"/>
      <c r="O766" s="113"/>
      <c r="P766" s="113"/>
      <c r="Q766" s="113"/>
      <c r="R766" s="113"/>
      <c r="S766" s="113"/>
      <c r="T766" s="113"/>
      <c r="U766" s="113"/>
      <c r="V766" s="113"/>
      <c r="W766" s="113"/>
      <c r="X766" s="113"/>
      <c r="Y766" s="113"/>
      <c r="Z766" s="113"/>
    </row>
    <row r="767">
      <c r="A767" s="113"/>
      <c r="B767" s="113"/>
      <c r="C767" s="113"/>
      <c r="D767" s="113"/>
      <c r="E767" s="113"/>
      <c r="F767" s="113"/>
      <c r="G767" s="113"/>
      <c r="H767" s="113"/>
      <c r="I767" s="113"/>
      <c r="J767" s="113"/>
      <c r="K767" s="113"/>
      <c r="L767" s="113"/>
      <c r="M767" s="113"/>
      <c r="N767" s="113"/>
      <c r="O767" s="113"/>
      <c r="P767" s="113"/>
      <c r="Q767" s="113"/>
      <c r="R767" s="113"/>
      <c r="S767" s="113"/>
      <c r="T767" s="113"/>
      <c r="U767" s="113"/>
      <c r="V767" s="113"/>
      <c r="W767" s="113"/>
      <c r="X767" s="113"/>
      <c r="Y767" s="113"/>
      <c r="Z767" s="113"/>
    </row>
    <row r="768">
      <c r="A768" s="113"/>
      <c r="B768" s="113"/>
      <c r="C768" s="113"/>
      <c r="D768" s="113"/>
      <c r="E768" s="113"/>
      <c r="F768" s="113"/>
      <c r="G768" s="113"/>
      <c r="H768" s="113"/>
      <c r="I768" s="113"/>
      <c r="J768" s="113"/>
      <c r="K768" s="113"/>
      <c r="L768" s="113"/>
      <c r="M768" s="113"/>
      <c r="N768" s="113"/>
      <c r="O768" s="113"/>
      <c r="P768" s="113"/>
      <c r="Q768" s="113"/>
      <c r="R768" s="113"/>
      <c r="S768" s="113"/>
      <c r="T768" s="113"/>
      <c r="U768" s="113"/>
      <c r="V768" s="113"/>
      <c r="W768" s="113"/>
      <c r="X768" s="113"/>
      <c r="Y768" s="113"/>
      <c r="Z768" s="113"/>
    </row>
    <row r="769">
      <c r="A769" s="113"/>
      <c r="B769" s="113"/>
      <c r="C769" s="113"/>
      <c r="D769" s="113"/>
      <c r="E769" s="113"/>
      <c r="F769" s="113"/>
      <c r="G769" s="113"/>
      <c r="H769" s="113"/>
      <c r="I769" s="113"/>
      <c r="J769" s="113"/>
      <c r="K769" s="113"/>
      <c r="L769" s="113"/>
      <c r="M769" s="113"/>
      <c r="N769" s="113"/>
      <c r="O769" s="113"/>
      <c r="P769" s="113"/>
      <c r="Q769" s="113"/>
      <c r="R769" s="113"/>
      <c r="S769" s="113"/>
      <c r="T769" s="113"/>
      <c r="U769" s="113"/>
      <c r="V769" s="113"/>
      <c r="W769" s="113"/>
      <c r="X769" s="113"/>
      <c r="Y769" s="113"/>
      <c r="Z769" s="113"/>
    </row>
    <row r="770">
      <c r="A770" s="113"/>
      <c r="B770" s="113"/>
      <c r="C770" s="113"/>
      <c r="D770" s="113"/>
      <c r="E770" s="113"/>
      <c r="F770" s="113"/>
      <c r="G770" s="113"/>
      <c r="H770" s="113"/>
      <c r="I770" s="113"/>
      <c r="J770" s="113"/>
      <c r="K770" s="113"/>
      <c r="L770" s="113"/>
      <c r="M770" s="113"/>
      <c r="N770" s="113"/>
      <c r="O770" s="113"/>
      <c r="P770" s="113"/>
      <c r="Q770" s="113"/>
      <c r="R770" s="113"/>
      <c r="S770" s="113"/>
      <c r="T770" s="113"/>
      <c r="U770" s="113"/>
      <c r="V770" s="113"/>
      <c r="W770" s="113"/>
      <c r="X770" s="113"/>
      <c r="Y770" s="113"/>
      <c r="Z770" s="113"/>
    </row>
    <row r="771">
      <c r="A771" s="113"/>
      <c r="B771" s="113"/>
      <c r="C771" s="113"/>
      <c r="D771" s="113"/>
      <c r="E771" s="113"/>
      <c r="F771" s="113"/>
      <c r="G771" s="113"/>
      <c r="H771" s="113"/>
      <c r="I771" s="113"/>
      <c r="J771" s="113"/>
      <c r="K771" s="113"/>
      <c r="L771" s="113"/>
      <c r="M771" s="113"/>
      <c r="N771" s="113"/>
      <c r="O771" s="113"/>
      <c r="P771" s="113"/>
      <c r="Q771" s="113"/>
      <c r="R771" s="113"/>
      <c r="S771" s="113"/>
      <c r="T771" s="113"/>
      <c r="U771" s="113"/>
      <c r="V771" s="113"/>
      <c r="W771" s="113"/>
      <c r="X771" s="113"/>
      <c r="Y771" s="113"/>
      <c r="Z771" s="113"/>
    </row>
    <row r="772">
      <c r="A772" s="113"/>
      <c r="B772" s="113"/>
      <c r="C772" s="113"/>
      <c r="D772" s="113"/>
      <c r="E772" s="113"/>
      <c r="F772" s="113"/>
      <c r="G772" s="113"/>
      <c r="H772" s="113"/>
      <c r="I772" s="113"/>
      <c r="J772" s="113"/>
      <c r="K772" s="113"/>
      <c r="L772" s="113"/>
      <c r="M772" s="113"/>
      <c r="N772" s="113"/>
      <c r="O772" s="113"/>
      <c r="P772" s="113"/>
      <c r="Q772" s="113"/>
      <c r="R772" s="113"/>
      <c r="S772" s="113"/>
      <c r="T772" s="113"/>
      <c r="U772" s="113"/>
      <c r="V772" s="113"/>
      <c r="W772" s="113"/>
      <c r="X772" s="113"/>
      <c r="Y772" s="113"/>
      <c r="Z772" s="113"/>
    </row>
    <row r="773">
      <c r="A773" s="113"/>
      <c r="B773" s="113"/>
      <c r="C773" s="113"/>
      <c r="D773" s="113"/>
      <c r="E773" s="113"/>
      <c r="F773" s="113"/>
      <c r="G773" s="113"/>
      <c r="H773" s="113"/>
      <c r="I773" s="113"/>
      <c r="J773" s="113"/>
      <c r="K773" s="113"/>
      <c r="L773" s="113"/>
      <c r="M773" s="113"/>
      <c r="N773" s="113"/>
      <c r="O773" s="113"/>
      <c r="P773" s="113"/>
      <c r="Q773" s="113"/>
      <c r="R773" s="113"/>
      <c r="S773" s="113"/>
      <c r="T773" s="113"/>
      <c r="U773" s="113"/>
      <c r="V773" s="113"/>
      <c r="W773" s="113"/>
      <c r="X773" s="113"/>
      <c r="Y773" s="113"/>
      <c r="Z773" s="113"/>
    </row>
    <row r="774">
      <c r="A774" s="113"/>
      <c r="B774" s="113"/>
      <c r="C774" s="113"/>
      <c r="D774" s="113"/>
      <c r="E774" s="113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  <c r="P774" s="113"/>
      <c r="Q774" s="113"/>
      <c r="R774" s="113"/>
      <c r="S774" s="113"/>
      <c r="T774" s="113"/>
      <c r="U774" s="113"/>
      <c r="V774" s="113"/>
      <c r="W774" s="113"/>
      <c r="X774" s="113"/>
      <c r="Y774" s="113"/>
      <c r="Z774" s="113"/>
    </row>
    <row r="775">
      <c r="A775" s="113"/>
      <c r="B775" s="113"/>
      <c r="C775" s="113"/>
      <c r="D775" s="113"/>
      <c r="E775" s="113"/>
      <c r="F775" s="113"/>
      <c r="G775" s="113"/>
      <c r="H775" s="113"/>
      <c r="I775" s="113"/>
      <c r="J775" s="113"/>
      <c r="K775" s="113"/>
      <c r="L775" s="113"/>
      <c r="M775" s="113"/>
      <c r="N775" s="113"/>
      <c r="O775" s="113"/>
      <c r="P775" s="113"/>
      <c r="Q775" s="113"/>
      <c r="R775" s="113"/>
      <c r="S775" s="113"/>
      <c r="T775" s="113"/>
      <c r="U775" s="113"/>
      <c r="V775" s="113"/>
      <c r="W775" s="113"/>
      <c r="X775" s="113"/>
      <c r="Y775" s="113"/>
      <c r="Z775" s="113"/>
    </row>
    <row r="776">
      <c r="A776" s="113"/>
      <c r="B776" s="113"/>
      <c r="C776" s="113"/>
      <c r="D776" s="113"/>
      <c r="E776" s="113"/>
      <c r="F776" s="113"/>
      <c r="G776" s="113"/>
      <c r="H776" s="113"/>
      <c r="I776" s="113"/>
      <c r="J776" s="113"/>
      <c r="K776" s="113"/>
      <c r="L776" s="113"/>
      <c r="M776" s="113"/>
      <c r="N776" s="113"/>
      <c r="O776" s="113"/>
      <c r="P776" s="113"/>
      <c r="Q776" s="113"/>
      <c r="R776" s="113"/>
      <c r="S776" s="113"/>
      <c r="T776" s="113"/>
      <c r="U776" s="113"/>
      <c r="V776" s="113"/>
      <c r="W776" s="113"/>
      <c r="X776" s="113"/>
      <c r="Y776" s="113"/>
      <c r="Z776" s="113"/>
    </row>
    <row r="777">
      <c r="A777" s="113"/>
      <c r="B777" s="113"/>
      <c r="C777" s="113"/>
      <c r="D777" s="113"/>
      <c r="E777" s="113"/>
      <c r="F777" s="113"/>
      <c r="G777" s="113"/>
      <c r="H777" s="113"/>
      <c r="I777" s="113"/>
      <c r="J777" s="113"/>
      <c r="K777" s="113"/>
      <c r="L777" s="113"/>
      <c r="M777" s="113"/>
      <c r="N777" s="113"/>
      <c r="O777" s="113"/>
      <c r="P777" s="113"/>
      <c r="Q777" s="113"/>
      <c r="R777" s="113"/>
      <c r="S777" s="113"/>
      <c r="T777" s="113"/>
      <c r="U777" s="113"/>
      <c r="V777" s="113"/>
      <c r="W777" s="113"/>
      <c r="X777" s="113"/>
      <c r="Y777" s="113"/>
      <c r="Z777" s="113"/>
    </row>
    <row r="778">
      <c r="A778" s="113"/>
      <c r="B778" s="113"/>
      <c r="C778" s="113"/>
      <c r="D778" s="113"/>
      <c r="E778" s="113"/>
      <c r="F778" s="113"/>
      <c r="G778" s="113"/>
      <c r="H778" s="113"/>
      <c r="I778" s="113"/>
      <c r="J778" s="113"/>
      <c r="K778" s="113"/>
      <c r="L778" s="113"/>
      <c r="M778" s="113"/>
      <c r="N778" s="113"/>
      <c r="O778" s="113"/>
      <c r="P778" s="113"/>
      <c r="Q778" s="113"/>
      <c r="R778" s="113"/>
      <c r="S778" s="113"/>
      <c r="T778" s="113"/>
      <c r="U778" s="113"/>
      <c r="V778" s="113"/>
      <c r="W778" s="113"/>
      <c r="X778" s="113"/>
      <c r="Y778" s="113"/>
      <c r="Z778" s="113"/>
    </row>
    <row r="779">
      <c r="A779" s="113"/>
      <c r="B779" s="113"/>
      <c r="C779" s="113"/>
      <c r="D779" s="113"/>
      <c r="E779" s="113"/>
      <c r="F779" s="113"/>
      <c r="G779" s="113"/>
      <c r="H779" s="113"/>
      <c r="I779" s="113"/>
      <c r="J779" s="113"/>
      <c r="K779" s="113"/>
      <c r="L779" s="113"/>
      <c r="M779" s="113"/>
      <c r="N779" s="113"/>
      <c r="O779" s="113"/>
      <c r="P779" s="113"/>
      <c r="Q779" s="113"/>
      <c r="R779" s="113"/>
      <c r="S779" s="113"/>
      <c r="T779" s="113"/>
      <c r="U779" s="113"/>
      <c r="V779" s="113"/>
      <c r="W779" s="113"/>
      <c r="X779" s="113"/>
      <c r="Y779" s="113"/>
      <c r="Z779" s="113"/>
    </row>
    <row r="780">
      <c r="A780" s="113"/>
      <c r="B780" s="113"/>
      <c r="C780" s="113"/>
      <c r="D780" s="113"/>
      <c r="E780" s="113"/>
      <c r="F780" s="113"/>
      <c r="G780" s="113"/>
      <c r="H780" s="113"/>
      <c r="I780" s="113"/>
      <c r="J780" s="113"/>
      <c r="K780" s="113"/>
      <c r="L780" s="113"/>
      <c r="M780" s="113"/>
      <c r="N780" s="113"/>
      <c r="O780" s="113"/>
      <c r="P780" s="113"/>
      <c r="Q780" s="113"/>
      <c r="R780" s="113"/>
      <c r="S780" s="113"/>
      <c r="T780" s="113"/>
      <c r="U780" s="113"/>
      <c r="V780" s="113"/>
      <c r="W780" s="113"/>
      <c r="X780" s="113"/>
      <c r="Y780" s="113"/>
      <c r="Z780" s="113"/>
    </row>
    <row r="781">
      <c r="A781" s="113"/>
      <c r="B781" s="113"/>
      <c r="C781" s="113"/>
      <c r="D781" s="113"/>
      <c r="E781" s="113"/>
      <c r="F781" s="113"/>
      <c r="G781" s="113"/>
      <c r="H781" s="113"/>
      <c r="I781" s="113"/>
      <c r="J781" s="113"/>
      <c r="K781" s="113"/>
      <c r="L781" s="113"/>
      <c r="M781" s="113"/>
      <c r="N781" s="113"/>
      <c r="O781" s="113"/>
      <c r="P781" s="113"/>
      <c r="Q781" s="113"/>
      <c r="R781" s="113"/>
      <c r="S781" s="113"/>
      <c r="T781" s="113"/>
      <c r="U781" s="113"/>
      <c r="V781" s="113"/>
      <c r="W781" s="113"/>
      <c r="X781" s="113"/>
      <c r="Y781" s="113"/>
      <c r="Z781" s="113"/>
    </row>
    <row r="782">
      <c r="A782" s="113"/>
      <c r="B782" s="113"/>
      <c r="C782" s="113"/>
      <c r="D782" s="113"/>
      <c r="E782" s="113"/>
      <c r="F782" s="113"/>
      <c r="G782" s="113"/>
      <c r="H782" s="113"/>
      <c r="I782" s="113"/>
      <c r="J782" s="113"/>
      <c r="K782" s="113"/>
      <c r="L782" s="113"/>
      <c r="M782" s="113"/>
      <c r="N782" s="113"/>
      <c r="O782" s="113"/>
      <c r="P782" s="113"/>
      <c r="Q782" s="113"/>
      <c r="R782" s="113"/>
      <c r="S782" s="113"/>
      <c r="T782" s="113"/>
      <c r="U782" s="113"/>
      <c r="V782" s="113"/>
      <c r="W782" s="113"/>
      <c r="X782" s="113"/>
      <c r="Y782" s="113"/>
      <c r="Z782" s="113"/>
    </row>
    <row r="783">
      <c r="A783" s="113"/>
      <c r="B783" s="113"/>
      <c r="C783" s="113"/>
      <c r="D783" s="113"/>
      <c r="E783" s="113"/>
      <c r="F783" s="113"/>
      <c r="G783" s="113"/>
      <c r="H783" s="113"/>
      <c r="I783" s="113"/>
      <c r="J783" s="113"/>
      <c r="K783" s="113"/>
      <c r="L783" s="113"/>
      <c r="M783" s="113"/>
      <c r="N783" s="113"/>
      <c r="O783" s="113"/>
      <c r="P783" s="113"/>
      <c r="Q783" s="113"/>
      <c r="R783" s="113"/>
      <c r="S783" s="113"/>
      <c r="T783" s="113"/>
      <c r="U783" s="113"/>
      <c r="V783" s="113"/>
      <c r="W783" s="113"/>
      <c r="X783" s="113"/>
      <c r="Y783" s="113"/>
      <c r="Z783" s="113"/>
    </row>
    <row r="784">
      <c r="A784" s="113"/>
      <c r="B784" s="113"/>
      <c r="C784" s="113"/>
      <c r="D784" s="113"/>
      <c r="E784" s="113"/>
      <c r="F784" s="113"/>
      <c r="G784" s="113"/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  <c r="R784" s="113"/>
      <c r="S784" s="113"/>
      <c r="T784" s="113"/>
      <c r="U784" s="113"/>
      <c r="V784" s="113"/>
      <c r="W784" s="113"/>
      <c r="X784" s="113"/>
      <c r="Y784" s="113"/>
      <c r="Z784" s="113"/>
    </row>
    <row r="785">
      <c r="A785" s="113"/>
      <c r="B785" s="113"/>
      <c r="C785" s="113"/>
      <c r="D785" s="113"/>
      <c r="E785" s="113"/>
      <c r="F785" s="113"/>
      <c r="G785" s="113"/>
      <c r="H785" s="113"/>
      <c r="I785" s="113"/>
      <c r="J785" s="113"/>
      <c r="K785" s="113"/>
      <c r="L785" s="113"/>
      <c r="M785" s="113"/>
      <c r="N785" s="113"/>
      <c r="O785" s="113"/>
      <c r="P785" s="113"/>
      <c r="Q785" s="113"/>
      <c r="R785" s="113"/>
      <c r="S785" s="113"/>
      <c r="T785" s="113"/>
      <c r="U785" s="113"/>
      <c r="V785" s="113"/>
      <c r="W785" s="113"/>
      <c r="X785" s="113"/>
      <c r="Y785" s="113"/>
      <c r="Z785" s="113"/>
    </row>
    <row r="786">
      <c r="A786" s="113"/>
      <c r="B786" s="113"/>
      <c r="C786" s="113"/>
      <c r="D786" s="113"/>
      <c r="E786" s="113"/>
      <c r="F786" s="113"/>
      <c r="G786" s="113"/>
      <c r="H786" s="113"/>
      <c r="I786" s="113"/>
      <c r="J786" s="113"/>
      <c r="K786" s="113"/>
      <c r="L786" s="113"/>
      <c r="M786" s="113"/>
      <c r="N786" s="113"/>
      <c r="O786" s="113"/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3"/>
    </row>
    <row r="787">
      <c r="A787" s="113"/>
      <c r="B787" s="113"/>
      <c r="C787" s="113"/>
      <c r="D787" s="113"/>
      <c r="E787" s="113"/>
      <c r="F787" s="113"/>
      <c r="G787" s="113"/>
      <c r="H787" s="113"/>
      <c r="I787" s="113"/>
      <c r="J787" s="113"/>
      <c r="K787" s="113"/>
      <c r="L787" s="113"/>
      <c r="M787" s="113"/>
      <c r="N787" s="113"/>
      <c r="O787" s="113"/>
      <c r="P787" s="113"/>
      <c r="Q787" s="113"/>
      <c r="R787" s="113"/>
      <c r="S787" s="113"/>
      <c r="T787" s="113"/>
      <c r="U787" s="113"/>
      <c r="V787" s="113"/>
      <c r="W787" s="113"/>
      <c r="X787" s="113"/>
      <c r="Y787" s="113"/>
      <c r="Z787" s="113"/>
    </row>
    <row r="788">
      <c r="A788" s="113"/>
      <c r="B788" s="113"/>
      <c r="C788" s="113"/>
      <c r="D788" s="113"/>
      <c r="E788" s="113"/>
      <c r="F788" s="113"/>
      <c r="G788" s="113"/>
      <c r="H788" s="113"/>
      <c r="I788" s="113"/>
      <c r="J788" s="113"/>
      <c r="K788" s="113"/>
      <c r="L788" s="113"/>
      <c r="M788" s="113"/>
      <c r="N788" s="113"/>
      <c r="O788" s="113"/>
      <c r="P788" s="113"/>
      <c r="Q788" s="113"/>
      <c r="R788" s="113"/>
      <c r="S788" s="113"/>
      <c r="T788" s="113"/>
      <c r="U788" s="113"/>
      <c r="V788" s="113"/>
      <c r="W788" s="113"/>
      <c r="X788" s="113"/>
      <c r="Y788" s="113"/>
      <c r="Z788" s="113"/>
    </row>
    <row r="789">
      <c r="A789" s="113"/>
      <c r="B789" s="113"/>
      <c r="C789" s="113"/>
      <c r="D789" s="113"/>
      <c r="E789" s="113"/>
      <c r="F789" s="113"/>
      <c r="G789" s="113"/>
      <c r="H789" s="113"/>
      <c r="I789" s="113"/>
      <c r="J789" s="113"/>
      <c r="K789" s="113"/>
      <c r="L789" s="113"/>
      <c r="M789" s="113"/>
      <c r="N789" s="113"/>
      <c r="O789" s="113"/>
      <c r="P789" s="113"/>
      <c r="Q789" s="113"/>
      <c r="R789" s="113"/>
      <c r="S789" s="113"/>
      <c r="T789" s="113"/>
      <c r="U789" s="113"/>
      <c r="V789" s="113"/>
      <c r="W789" s="113"/>
      <c r="X789" s="113"/>
      <c r="Y789" s="113"/>
      <c r="Z789" s="113"/>
    </row>
    <row r="790">
      <c r="A790" s="113"/>
      <c r="B790" s="113"/>
      <c r="C790" s="113"/>
      <c r="D790" s="113"/>
      <c r="E790" s="113"/>
      <c r="F790" s="113"/>
      <c r="G790" s="113"/>
      <c r="H790" s="113"/>
      <c r="I790" s="113"/>
      <c r="J790" s="113"/>
      <c r="K790" s="113"/>
      <c r="L790" s="113"/>
      <c r="M790" s="113"/>
      <c r="N790" s="113"/>
      <c r="O790" s="113"/>
      <c r="P790" s="113"/>
      <c r="Q790" s="113"/>
      <c r="R790" s="113"/>
      <c r="S790" s="113"/>
      <c r="T790" s="113"/>
      <c r="U790" s="113"/>
      <c r="V790" s="113"/>
      <c r="W790" s="113"/>
      <c r="X790" s="113"/>
      <c r="Y790" s="113"/>
      <c r="Z790" s="113"/>
    </row>
    <row r="791">
      <c r="A791" s="113"/>
      <c r="B791" s="113"/>
      <c r="C791" s="113"/>
      <c r="D791" s="113"/>
      <c r="E791" s="113"/>
      <c r="F791" s="113"/>
      <c r="G791" s="113"/>
      <c r="H791" s="113"/>
      <c r="I791" s="113"/>
      <c r="J791" s="113"/>
      <c r="K791" s="113"/>
      <c r="L791" s="113"/>
      <c r="M791" s="113"/>
      <c r="N791" s="113"/>
      <c r="O791" s="113"/>
      <c r="P791" s="113"/>
      <c r="Q791" s="113"/>
      <c r="R791" s="113"/>
      <c r="S791" s="113"/>
      <c r="T791" s="113"/>
      <c r="U791" s="113"/>
      <c r="V791" s="113"/>
      <c r="W791" s="113"/>
      <c r="X791" s="113"/>
      <c r="Y791" s="113"/>
      <c r="Z791" s="113"/>
    </row>
    <row r="792">
      <c r="A792" s="113"/>
      <c r="B792" s="113"/>
      <c r="C792" s="113"/>
      <c r="D792" s="113"/>
      <c r="E792" s="113"/>
      <c r="F792" s="113"/>
      <c r="G792" s="113"/>
      <c r="H792" s="113"/>
      <c r="I792" s="113"/>
      <c r="J792" s="113"/>
      <c r="K792" s="113"/>
      <c r="L792" s="113"/>
      <c r="M792" s="113"/>
      <c r="N792" s="113"/>
      <c r="O792" s="113"/>
      <c r="P792" s="113"/>
      <c r="Q792" s="113"/>
      <c r="R792" s="113"/>
      <c r="S792" s="113"/>
      <c r="T792" s="113"/>
      <c r="U792" s="113"/>
      <c r="V792" s="113"/>
      <c r="W792" s="113"/>
      <c r="X792" s="113"/>
      <c r="Y792" s="113"/>
      <c r="Z792" s="113"/>
    </row>
    <row r="793">
      <c r="A793" s="113"/>
      <c r="B793" s="113"/>
      <c r="C793" s="113"/>
      <c r="D793" s="113"/>
      <c r="E793" s="113"/>
      <c r="F793" s="113"/>
      <c r="G793" s="113"/>
      <c r="H793" s="113"/>
      <c r="I793" s="113"/>
      <c r="J793" s="113"/>
      <c r="K793" s="113"/>
      <c r="L793" s="113"/>
      <c r="M793" s="113"/>
      <c r="N793" s="113"/>
      <c r="O793" s="113"/>
      <c r="P793" s="113"/>
      <c r="Q793" s="113"/>
      <c r="R793" s="113"/>
      <c r="S793" s="113"/>
      <c r="T793" s="113"/>
      <c r="U793" s="113"/>
      <c r="V793" s="113"/>
      <c r="W793" s="113"/>
      <c r="X793" s="113"/>
      <c r="Y793" s="113"/>
      <c r="Z793" s="113"/>
    </row>
    <row r="794">
      <c r="A794" s="113"/>
      <c r="B794" s="113"/>
      <c r="C794" s="113"/>
      <c r="D794" s="113"/>
      <c r="E794" s="113"/>
      <c r="F794" s="113"/>
      <c r="G794" s="113"/>
      <c r="H794" s="113"/>
      <c r="I794" s="113"/>
      <c r="J794" s="113"/>
      <c r="K794" s="113"/>
      <c r="L794" s="113"/>
      <c r="M794" s="113"/>
      <c r="N794" s="113"/>
      <c r="O794" s="113"/>
      <c r="P794" s="113"/>
      <c r="Q794" s="113"/>
      <c r="R794" s="113"/>
      <c r="S794" s="113"/>
      <c r="T794" s="113"/>
      <c r="U794" s="113"/>
      <c r="V794" s="113"/>
      <c r="W794" s="113"/>
      <c r="X794" s="113"/>
      <c r="Y794" s="113"/>
      <c r="Z794" s="113"/>
    </row>
    <row r="795">
      <c r="A795" s="113"/>
      <c r="B795" s="113"/>
      <c r="C795" s="113"/>
      <c r="D795" s="113"/>
      <c r="E795" s="113"/>
      <c r="F795" s="113"/>
      <c r="G795" s="113"/>
      <c r="H795" s="113"/>
      <c r="I795" s="113"/>
      <c r="J795" s="113"/>
      <c r="K795" s="113"/>
      <c r="L795" s="113"/>
      <c r="M795" s="113"/>
      <c r="N795" s="113"/>
      <c r="O795" s="113"/>
      <c r="P795" s="113"/>
      <c r="Q795" s="113"/>
      <c r="R795" s="113"/>
      <c r="S795" s="113"/>
      <c r="T795" s="113"/>
      <c r="U795" s="113"/>
      <c r="V795" s="113"/>
      <c r="W795" s="113"/>
      <c r="X795" s="113"/>
      <c r="Y795" s="113"/>
      <c r="Z795" s="113"/>
    </row>
    <row r="796">
      <c r="A796" s="113"/>
      <c r="B796" s="113"/>
      <c r="C796" s="113"/>
      <c r="D796" s="113"/>
      <c r="E796" s="113"/>
      <c r="F796" s="113"/>
      <c r="G796" s="113"/>
      <c r="H796" s="113"/>
      <c r="I796" s="113"/>
      <c r="J796" s="113"/>
      <c r="K796" s="113"/>
      <c r="L796" s="113"/>
      <c r="M796" s="113"/>
      <c r="N796" s="113"/>
      <c r="O796" s="113"/>
      <c r="P796" s="113"/>
      <c r="Q796" s="113"/>
      <c r="R796" s="113"/>
      <c r="S796" s="113"/>
      <c r="T796" s="113"/>
      <c r="U796" s="113"/>
      <c r="V796" s="113"/>
      <c r="W796" s="113"/>
      <c r="X796" s="113"/>
      <c r="Y796" s="113"/>
      <c r="Z796" s="113"/>
    </row>
    <row r="797">
      <c r="A797" s="113"/>
      <c r="B797" s="113"/>
      <c r="C797" s="113"/>
      <c r="D797" s="113"/>
      <c r="E797" s="113"/>
      <c r="F797" s="113"/>
      <c r="G797" s="113"/>
      <c r="H797" s="113"/>
      <c r="I797" s="113"/>
      <c r="J797" s="113"/>
      <c r="K797" s="113"/>
      <c r="L797" s="113"/>
      <c r="M797" s="113"/>
      <c r="N797" s="113"/>
      <c r="O797" s="113"/>
      <c r="P797" s="113"/>
      <c r="Q797" s="113"/>
      <c r="R797" s="113"/>
      <c r="S797" s="113"/>
      <c r="T797" s="113"/>
      <c r="U797" s="113"/>
      <c r="V797" s="113"/>
      <c r="W797" s="113"/>
      <c r="X797" s="113"/>
      <c r="Y797" s="113"/>
      <c r="Z797" s="113"/>
    </row>
    <row r="798">
      <c r="A798" s="113"/>
      <c r="B798" s="113"/>
      <c r="C798" s="113"/>
      <c r="D798" s="113"/>
      <c r="E798" s="113"/>
      <c r="F798" s="113"/>
      <c r="G798" s="113"/>
      <c r="H798" s="113"/>
      <c r="I798" s="113"/>
      <c r="J798" s="113"/>
      <c r="K798" s="113"/>
      <c r="L798" s="113"/>
      <c r="M798" s="113"/>
      <c r="N798" s="113"/>
      <c r="O798" s="113"/>
      <c r="P798" s="113"/>
      <c r="Q798" s="113"/>
      <c r="R798" s="113"/>
      <c r="S798" s="113"/>
      <c r="T798" s="113"/>
      <c r="U798" s="113"/>
      <c r="V798" s="113"/>
      <c r="W798" s="113"/>
      <c r="X798" s="113"/>
      <c r="Y798" s="113"/>
      <c r="Z798" s="113"/>
    </row>
    <row r="799">
      <c r="A799" s="113"/>
      <c r="B799" s="113"/>
      <c r="C799" s="113"/>
      <c r="D799" s="113"/>
      <c r="E799" s="113"/>
      <c r="F799" s="113"/>
      <c r="G799" s="113"/>
      <c r="H799" s="113"/>
      <c r="I799" s="113"/>
      <c r="J799" s="113"/>
      <c r="K799" s="113"/>
      <c r="L799" s="113"/>
      <c r="M799" s="113"/>
      <c r="N799" s="113"/>
      <c r="O799" s="113"/>
      <c r="P799" s="113"/>
      <c r="Q799" s="113"/>
      <c r="R799" s="113"/>
      <c r="S799" s="113"/>
      <c r="T799" s="113"/>
      <c r="U799" s="113"/>
      <c r="V799" s="113"/>
      <c r="W799" s="113"/>
      <c r="X799" s="113"/>
      <c r="Y799" s="113"/>
      <c r="Z799" s="113"/>
    </row>
    <row r="800">
      <c r="A800" s="113"/>
      <c r="B800" s="113"/>
      <c r="C800" s="113"/>
      <c r="D800" s="113"/>
      <c r="E800" s="113"/>
      <c r="F800" s="113"/>
      <c r="G800" s="113"/>
      <c r="H800" s="113"/>
      <c r="I800" s="113"/>
      <c r="J800" s="113"/>
      <c r="K800" s="113"/>
      <c r="L800" s="113"/>
      <c r="M800" s="113"/>
      <c r="N800" s="113"/>
      <c r="O800" s="113"/>
      <c r="P800" s="113"/>
      <c r="Q800" s="113"/>
      <c r="R800" s="113"/>
      <c r="S800" s="113"/>
      <c r="T800" s="113"/>
      <c r="U800" s="113"/>
      <c r="V800" s="113"/>
      <c r="W800" s="113"/>
      <c r="X800" s="113"/>
      <c r="Y800" s="113"/>
      <c r="Z800" s="113"/>
    </row>
    <row r="801">
      <c r="A801" s="113"/>
      <c r="B801" s="113"/>
      <c r="C801" s="113"/>
      <c r="D801" s="113"/>
      <c r="E801" s="113"/>
      <c r="F801" s="113"/>
      <c r="G801" s="113"/>
      <c r="H801" s="113"/>
      <c r="I801" s="113"/>
      <c r="J801" s="113"/>
      <c r="K801" s="113"/>
      <c r="L801" s="113"/>
      <c r="M801" s="113"/>
      <c r="N801" s="113"/>
      <c r="O801" s="113"/>
      <c r="P801" s="113"/>
      <c r="Q801" s="113"/>
      <c r="R801" s="113"/>
      <c r="S801" s="113"/>
      <c r="T801" s="113"/>
      <c r="U801" s="113"/>
      <c r="V801" s="113"/>
      <c r="W801" s="113"/>
      <c r="X801" s="113"/>
      <c r="Y801" s="113"/>
      <c r="Z801" s="113"/>
    </row>
    <row r="802">
      <c r="A802" s="113"/>
      <c r="B802" s="113"/>
      <c r="C802" s="113"/>
      <c r="D802" s="113"/>
      <c r="E802" s="113"/>
      <c r="F802" s="113"/>
      <c r="G802" s="113"/>
      <c r="H802" s="113"/>
      <c r="I802" s="113"/>
      <c r="J802" s="113"/>
      <c r="K802" s="113"/>
      <c r="L802" s="113"/>
      <c r="M802" s="113"/>
      <c r="N802" s="113"/>
      <c r="O802" s="113"/>
      <c r="P802" s="113"/>
      <c r="Q802" s="113"/>
      <c r="R802" s="113"/>
      <c r="S802" s="113"/>
      <c r="T802" s="113"/>
      <c r="U802" s="113"/>
      <c r="V802" s="113"/>
      <c r="W802" s="113"/>
      <c r="X802" s="113"/>
      <c r="Y802" s="113"/>
      <c r="Z802" s="113"/>
    </row>
    <row r="803">
      <c r="A803" s="113"/>
      <c r="B803" s="113"/>
      <c r="C803" s="113"/>
      <c r="D803" s="113"/>
      <c r="E803" s="113"/>
      <c r="F803" s="113"/>
      <c r="G803" s="113"/>
      <c r="H803" s="113"/>
      <c r="I803" s="113"/>
      <c r="J803" s="113"/>
      <c r="K803" s="113"/>
      <c r="L803" s="113"/>
      <c r="M803" s="113"/>
      <c r="N803" s="113"/>
      <c r="O803" s="113"/>
      <c r="P803" s="113"/>
      <c r="Q803" s="113"/>
      <c r="R803" s="113"/>
      <c r="S803" s="113"/>
      <c r="T803" s="113"/>
      <c r="U803" s="113"/>
      <c r="V803" s="113"/>
      <c r="W803" s="113"/>
      <c r="X803" s="113"/>
      <c r="Y803" s="113"/>
      <c r="Z803" s="113"/>
    </row>
    <row r="804">
      <c r="A804" s="113"/>
      <c r="B804" s="113"/>
      <c r="C804" s="113"/>
      <c r="D804" s="113"/>
      <c r="E804" s="113"/>
      <c r="F804" s="113"/>
      <c r="G804" s="113"/>
      <c r="H804" s="113"/>
      <c r="I804" s="113"/>
      <c r="J804" s="113"/>
      <c r="K804" s="113"/>
      <c r="L804" s="113"/>
      <c r="M804" s="113"/>
      <c r="N804" s="113"/>
      <c r="O804" s="113"/>
      <c r="P804" s="113"/>
      <c r="Q804" s="113"/>
      <c r="R804" s="113"/>
      <c r="S804" s="113"/>
      <c r="T804" s="113"/>
      <c r="U804" s="113"/>
      <c r="V804" s="113"/>
      <c r="W804" s="113"/>
      <c r="X804" s="113"/>
      <c r="Y804" s="113"/>
      <c r="Z804" s="113"/>
    </row>
    <row r="805">
      <c r="A805" s="113"/>
      <c r="B805" s="113"/>
      <c r="C805" s="113"/>
      <c r="D805" s="113"/>
      <c r="E805" s="113"/>
      <c r="F805" s="113"/>
      <c r="G805" s="113"/>
      <c r="H805" s="113"/>
      <c r="I805" s="113"/>
      <c r="J805" s="113"/>
      <c r="K805" s="113"/>
      <c r="L805" s="113"/>
      <c r="M805" s="113"/>
      <c r="N805" s="113"/>
      <c r="O805" s="113"/>
      <c r="P805" s="113"/>
      <c r="Q805" s="113"/>
      <c r="R805" s="113"/>
      <c r="S805" s="113"/>
      <c r="T805" s="113"/>
      <c r="U805" s="113"/>
      <c r="V805" s="113"/>
      <c r="W805" s="113"/>
      <c r="X805" s="113"/>
      <c r="Y805" s="113"/>
      <c r="Z805" s="113"/>
    </row>
    <row r="806">
      <c r="A806" s="113"/>
      <c r="B806" s="113"/>
      <c r="C806" s="113"/>
      <c r="D806" s="113"/>
      <c r="E806" s="113"/>
      <c r="F806" s="113"/>
      <c r="G806" s="113"/>
      <c r="H806" s="113"/>
      <c r="I806" s="113"/>
      <c r="J806" s="113"/>
      <c r="K806" s="113"/>
      <c r="L806" s="113"/>
      <c r="M806" s="113"/>
      <c r="N806" s="113"/>
      <c r="O806" s="113"/>
      <c r="P806" s="113"/>
      <c r="Q806" s="113"/>
      <c r="R806" s="113"/>
      <c r="S806" s="113"/>
      <c r="T806" s="113"/>
      <c r="U806" s="113"/>
      <c r="V806" s="113"/>
      <c r="W806" s="113"/>
      <c r="X806" s="113"/>
      <c r="Y806" s="113"/>
      <c r="Z806" s="113"/>
    </row>
    <row r="807">
      <c r="A807" s="113"/>
      <c r="B807" s="113"/>
      <c r="C807" s="113"/>
      <c r="D807" s="113"/>
      <c r="E807" s="113"/>
      <c r="F807" s="113"/>
      <c r="G807" s="113"/>
      <c r="H807" s="113"/>
      <c r="I807" s="113"/>
      <c r="J807" s="113"/>
      <c r="K807" s="113"/>
      <c r="L807" s="113"/>
      <c r="M807" s="113"/>
      <c r="N807" s="113"/>
      <c r="O807" s="113"/>
      <c r="P807" s="113"/>
      <c r="Q807" s="113"/>
      <c r="R807" s="113"/>
      <c r="S807" s="113"/>
      <c r="T807" s="113"/>
      <c r="U807" s="113"/>
      <c r="V807" s="113"/>
      <c r="W807" s="113"/>
      <c r="X807" s="113"/>
      <c r="Y807" s="113"/>
      <c r="Z807" s="113"/>
    </row>
    <row r="808">
      <c r="A808" s="113"/>
      <c r="B808" s="113"/>
      <c r="C808" s="113"/>
      <c r="D808" s="113"/>
      <c r="E808" s="113"/>
      <c r="F808" s="113"/>
      <c r="G808" s="113"/>
      <c r="H808" s="113"/>
      <c r="I808" s="113"/>
      <c r="J808" s="113"/>
      <c r="K808" s="113"/>
      <c r="L808" s="113"/>
      <c r="M808" s="113"/>
      <c r="N808" s="113"/>
      <c r="O808" s="113"/>
      <c r="P808" s="113"/>
      <c r="Q808" s="113"/>
      <c r="R808" s="113"/>
      <c r="S808" s="113"/>
      <c r="T808" s="113"/>
      <c r="U808" s="113"/>
      <c r="V808" s="113"/>
      <c r="W808" s="113"/>
      <c r="X808" s="113"/>
      <c r="Y808" s="113"/>
      <c r="Z808" s="113"/>
    </row>
    <row r="809">
      <c r="A809" s="113"/>
      <c r="B809" s="113"/>
      <c r="C809" s="113"/>
      <c r="D809" s="113"/>
      <c r="E809" s="113"/>
      <c r="F809" s="113"/>
      <c r="G809" s="113"/>
      <c r="H809" s="113"/>
      <c r="I809" s="113"/>
      <c r="J809" s="113"/>
      <c r="K809" s="113"/>
      <c r="L809" s="113"/>
      <c r="M809" s="113"/>
      <c r="N809" s="113"/>
      <c r="O809" s="113"/>
      <c r="P809" s="113"/>
      <c r="Q809" s="113"/>
      <c r="R809" s="113"/>
      <c r="S809" s="113"/>
      <c r="T809" s="113"/>
      <c r="U809" s="113"/>
      <c r="V809" s="113"/>
      <c r="W809" s="113"/>
      <c r="X809" s="113"/>
      <c r="Y809" s="113"/>
      <c r="Z809" s="113"/>
    </row>
    <row r="810">
      <c r="A810" s="113"/>
      <c r="B810" s="113"/>
      <c r="C810" s="113"/>
      <c r="D810" s="113"/>
      <c r="E810" s="113"/>
      <c r="F810" s="113"/>
      <c r="G810" s="113"/>
      <c r="H810" s="113"/>
      <c r="I810" s="113"/>
      <c r="J810" s="113"/>
      <c r="K810" s="113"/>
      <c r="L810" s="113"/>
      <c r="M810" s="113"/>
      <c r="N810" s="113"/>
      <c r="O810" s="113"/>
      <c r="P810" s="113"/>
      <c r="Q810" s="113"/>
      <c r="R810" s="113"/>
      <c r="S810" s="113"/>
      <c r="T810" s="113"/>
      <c r="U810" s="113"/>
      <c r="V810" s="113"/>
      <c r="W810" s="113"/>
      <c r="X810" s="113"/>
      <c r="Y810" s="113"/>
      <c r="Z810" s="113"/>
    </row>
    <row r="811">
      <c r="A811" s="113"/>
      <c r="B811" s="113"/>
      <c r="C811" s="113"/>
      <c r="D811" s="113"/>
      <c r="E811" s="113"/>
      <c r="F811" s="113"/>
      <c r="G811" s="113"/>
      <c r="H811" s="113"/>
      <c r="I811" s="113"/>
      <c r="J811" s="113"/>
      <c r="K811" s="113"/>
      <c r="L811" s="113"/>
      <c r="M811" s="113"/>
      <c r="N811" s="113"/>
      <c r="O811" s="113"/>
      <c r="P811" s="113"/>
      <c r="Q811" s="113"/>
      <c r="R811" s="113"/>
      <c r="S811" s="113"/>
      <c r="T811" s="113"/>
      <c r="U811" s="113"/>
      <c r="V811" s="113"/>
      <c r="W811" s="113"/>
      <c r="X811" s="113"/>
      <c r="Y811" s="113"/>
      <c r="Z811" s="113"/>
    </row>
    <row r="812">
      <c r="A812" s="113"/>
      <c r="B812" s="113"/>
      <c r="C812" s="113"/>
      <c r="D812" s="113"/>
      <c r="E812" s="113"/>
      <c r="F812" s="113"/>
      <c r="G812" s="113"/>
      <c r="H812" s="113"/>
      <c r="I812" s="113"/>
      <c r="J812" s="113"/>
      <c r="K812" s="113"/>
      <c r="L812" s="113"/>
      <c r="M812" s="113"/>
      <c r="N812" s="113"/>
      <c r="O812" s="113"/>
      <c r="P812" s="113"/>
      <c r="Q812" s="113"/>
      <c r="R812" s="113"/>
      <c r="S812" s="113"/>
      <c r="T812" s="113"/>
      <c r="U812" s="113"/>
      <c r="V812" s="113"/>
      <c r="W812" s="113"/>
      <c r="X812" s="113"/>
      <c r="Y812" s="113"/>
      <c r="Z812" s="113"/>
    </row>
    <row r="813">
      <c r="A813" s="113"/>
      <c r="B813" s="113"/>
      <c r="C813" s="113"/>
      <c r="D813" s="113"/>
      <c r="E813" s="113"/>
      <c r="F813" s="113"/>
      <c r="G813" s="113"/>
      <c r="H813" s="113"/>
      <c r="I813" s="113"/>
      <c r="J813" s="113"/>
      <c r="K813" s="113"/>
      <c r="L813" s="113"/>
      <c r="M813" s="113"/>
      <c r="N813" s="113"/>
      <c r="O813" s="113"/>
      <c r="P813" s="113"/>
      <c r="Q813" s="113"/>
      <c r="R813" s="113"/>
      <c r="S813" s="113"/>
      <c r="T813" s="113"/>
      <c r="U813" s="113"/>
      <c r="V813" s="113"/>
      <c r="W813" s="113"/>
      <c r="X813" s="113"/>
      <c r="Y813" s="113"/>
      <c r="Z813" s="113"/>
    </row>
    <row r="814">
      <c r="A814" s="113"/>
      <c r="B814" s="113"/>
      <c r="C814" s="113"/>
      <c r="D814" s="113"/>
      <c r="E814" s="113"/>
      <c r="F814" s="113"/>
      <c r="G814" s="113"/>
      <c r="H814" s="113"/>
      <c r="I814" s="113"/>
      <c r="J814" s="113"/>
      <c r="K814" s="113"/>
      <c r="L814" s="113"/>
      <c r="M814" s="113"/>
      <c r="N814" s="113"/>
      <c r="O814" s="113"/>
      <c r="P814" s="113"/>
      <c r="Q814" s="113"/>
      <c r="R814" s="113"/>
      <c r="S814" s="113"/>
      <c r="T814" s="113"/>
      <c r="U814" s="113"/>
      <c r="V814" s="113"/>
      <c r="W814" s="113"/>
      <c r="X814" s="113"/>
      <c r="Y814" s="113"/>
      <c r="Z814" s="113"/>
    </row>
    <row r="815">
      <c r="A815" s="113"/>
      <c r="B815" s="113"/>
      <c r="C815" s="113"/>
      <c r="D815" s="113"/>
      <c r="E815" s="113"/>
      <c r="F815" s="113"/>
      <c r="G815" s="113"/>
      <c r="H815" s="113"/>
      <c r="I815" s="113"/>
      <c r="J815" s="113"/>
      <c r="K815" s="113"/>
      <c r="L815" s="113"/>
      <c r="M815" s="113"/>
      <c r="N815" s="113"/>
      <c r="O815" s="113"/>
      <c r="P815" s="113"/>
      <c r="Q815" s="113"/>
      <c r="R815" s="113"/>
      <c r="S815" s="113"/>
      <c r="T815" s="113"/>
      <c r="U815" s="113"/>
      <c r="V815" s="113"/>
      <c r="W815" s="113"/>
      <c r="X815" s="113"/>
      <c r="Y815" s="113"/>
      <c r="Z815" s="113"/>
    </row>
    <row r="816">
      <c r="A816" s="113"/>
      <c r="B816" s="113"/>
      <c r="C816" s="113"/>
      <c r="D816" s="113"/>
      <c r="E816" s="113"/>
      <c r="F816" s="113"/>
      <c r="G816" s="113"/>
      <c r="H816" s="113"/>
      <c r="I816" s="113"/>
      <c r="J816" s="113"/>
      <c r="K816" s="113"/>
      <c r="L816" s="113"/>
      <c r="M816" s="113"/>
      <c r="N816" s="113"/>
      <c r="O816" s="113"/>
      <c r="P816" s="113"/>
      <c r="Q816" s="113"/>
      <c r="R816" s="113"/>
      <c r="S816" s="113"/>
      <c r="T816" s="113"/>
      <c r="U816" s="113"/>
      <c r="V816" s="113"/>
      <c r="W816" s="113"/>
      <c r="X816" s="113"/>
      <c r="Y816" s="113"/>
      <c r="Z816" s="113"/>
    </row>
    <row r="817">
      <c r="A817" s="113"/>
      <c r="B817" s="113"/>
      <c r="C817" s="113"/>
      <c r="D817" s="113"/>
      <c r="E817" s="113"/>
      <c r="F817" s="113"/>
      <c r="G817" s="113"/>
      <c r="H817" s="113"/>
      <c r="I817" s="113"/>
      <c r="J817" s="113"/>
      <c r="K817" s="113"/>
      <c r="L817" s="113"/>
      <c r="M817" s="113"/>
      <c r="N817" s="113"/>
      <c r="O817" s="113"/>
      <c r="P817" s="113"/>
      <c r="Q817" s="113"/>
      <c r="R817" s="113"/>
      <c r="S817" s="113"/>
      <c r="T817" s="113"/>
      <c r="U817" s="113"/>
      <c r="V817" s="113"/>
      <c r="W817" s="113"/>
      <c r="X817" s="113"/>
      <c r="Y817" s="113"/>
      <c r="Z817" s="113"/>
    </row>
    <row r="818">
      <c r="A818" s="113"/>
      <c r="B818" s="113"/>
      <c r="C818" s="113"/>
      <c r="D818" s="113"/>
      <c r="E818" s="113"/>
      <c r="F818" s="113"/>
      <c r="G818" s="113"/>
      <c r="H818" s="113"/>
      <c r="I818" s="113"/>
      <c r="J818" s="113"/>
      <c r="K818" s="113"/>
      <c r="L818" s="113"/>
      <c r="M818" s="113"/>
      <c r="N818" s="113"/>
      <c r="O818" s="113"/>
      <c r="P818" s="113"/>
      <c r="Q818" s="113"/>
      <c r="R818" s="113"/>
      <c r="S818" s="113"/>
      <c r="T818" s="113"/>
      <c r="U818" s="113"/>
      <c r="V818" s="113"/>
      <c r="W818" s="113"/>
      <c r="X818" s="113"/>
      <c r="Y818" s="113"/>
      <c r="Z818" s="113"/>
    </row>
    <row r="819">
      <c r="A819" s="113"/>
      <c r="B819" s="113"/>
      <c r="C819" s="113"/>
      <c r="D819" s="113"/>
      <c r="E819" s="113"/>
      <c r="F819" s="113"/>
      <c r="G819" s="113"/>
      <c r="H819" s="113"/>
      <c r="I819" s="113"/>
      <c r="J819" s="113"/>
      <c r="K819" s="113"/>
      <c r="L819" s="113"/>
      <c r="M819" s="113"/>
      <c r="N819" s="113"/>
      <c r="O819" s="113"/>
      <c r="P819" s="113"/>
      <c r="Q819" s="113"/>
      <c r="R819" s="113"/>
      <c r="S819" s="113"/>
      <c r="T819" s="113"/>
      <c r="U819" s="113"/>
      <c r="V819" s="113"/>
      <c r="W819" s="113"/>
      <c r="X819" s="113"/>
      <c r="Y819" s="113"/>
      <c r="Z819" s="113"/>
    </row>
    <row r="820">
      <c r="A820" s="113"/>
      <c r="B820" s="113"/>
      <c r="C820" s="113"/>
      <c r="D820" s="113"/>
      <c r="E820" s="113"/>
      <c r="F820" s="113"/>
      <c r="G820" s="113"/>
      <c r="H820" s="113"/>
      <c r="I820" s="113"/>
      <c r="J820" s="113"/>
      <c r="K820" s="113"/>
      <c r="L820" s="113"/>
      <c r="M820" s="113"/>
      <c r="N820" s="113"/>
      <c r="O820" s="113"/>
      <c r="P820" s="113"/>
      <c r="Q820" s="113"/>
      <c r="R820" s="113"/>
      <c r="S820" s="113"/>
      <c r="T820" s="113"/>
      <c r="U820" s="113"/>
      <c r="V820" s="113"/>
      <c r="W820" s="113"/>
      <c r="X820" s="113"/>
      <c r="Y820" s="113"/>
      <c r="Z820" s="113"/>
    </row>
    <row r="821">
      <c r="A821" s="113"/>
      <c r="B821" s="113"/>
      <c r="C821" s="113"/>
      <c r="D821" s="113"/>
      <c r="E821" s="113"/>
      <c r="F821" s="113"/>
      <c r="G821" s="113"/>
      <c r="H821" s="113"/>
      <c r="I821" s="113"/>
      <c r="J821" s="113"/>
      <c r="K821" s="113"/>
      <c r="L821" s="113"/>
      <c r="M821" s="113"/>
      <c r="N821" s="113"/>
      <c r="O821" s="113"/>
      <c r="P821" s="113"/>
      <c r="Q821" s="113"/>
      <c r="R821" s="113"/>
      <c r="S821" s="113"/>
      <c r="T821" s="113"/>
      <c r="U821" s="113"/>
      <c r="V821" s="113"/>
      <c r="W821" s="113"/>
      <c r="X821" s="113"/>
      <c r="Y821" s="113"/>
      <c r="Z821" s="113"/>
    </row>
    <row r="822">
      <c r="A822" s="113"/>
      <c r="B822" s="113"/>
      <c r="C822" s="113"/>
      <c r="D822" s="113"/>
      <c r="E822" s="113"/>
      <c r="F822" s="113"/>
      <c r="G822" s="113"/>
      <c r="H822" s="113"/>
      <c r="I822" s="113"/>
      <c r="J822" s="113"/>
      <c r="K822" s="113"/>
      <c r="L822" s="113"/>
      <c r="M822" s="113"/>
      <c r="N822" s="113"/>
      <c r="O822" s="113"/>
      <c r="P822" s="113"/>
      <c r="Q822" s="113"/>
      <c r="R822" s="113"/>
      <c r="S822" s="113"/>
      <c r="T822" s="113"/>
      <c r="U822" s="113"/>
      <c r="V822" s="113"/>
      <c r="W822" s="113"/>
      <c r="X822" s="113"/>
      <c r="Y822" s="113"/>
      <c r="Z822" s="113"/>
    </row>
    <row r="823">
      <c r="A823" s="113"/>
      <c r="B823" s="113"/>
      <c r="C823" s="113"/>
      <c r="D823" s="113"/>
      <c r="E823" s="113"/>
      <c r="F823" s="113"/>
      <c r="G823" s="113"/>
      <c r="H823" s="113"/>
      <c r="I823" s="113"/>
      <c r="J823" s="113"/>
      <c r="K823" s="113"/>
      <c r="L823" s="113"/>
      <c r="M823" s="113"/>
      <c r="N823" s="113"/>
      <c r="O823" s="113"/>
      <c r="P823" s="113"/>
      <c r="Q823" s="113"/>
      <c r="R823" s="113"/>
      <c r="S823" s="113"/>
      <c r="T823" s="113"/>
      <c r="U823" s="113"/>
      <c r="V823" s="113"/>
      <c r="W823" s="113"/>
      <c r="X823" s="113"/>
      <c r="Y823" s="113"/>
      <c r="Z823" s="113"/>
    </row>
    <row r="824">
      <c r="A824" s="113"/>
      <c r="B824" s="113"/>
      <c r="C824" s="113"/>
      <c r="D824" s="113"/>
      <c r="E824" s="113"/>
      <c r="F824" s="113"/>
      <c r="G824" s="113"/>
      <c r="H824" s="113"/>
      <c r="I824" s="113"/>
      <c r="J824" s="113"/>
      <c r="K824" s="113"/>
      <c r="L824" s="113"/>
      <c r="M824" s="113"/>
      <c r="N824" s="113"/>
      <c r="O824" s="113"/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3"/>
    </row>
    <row r="825">
      <c r="A825" s="113"/>
      <c r="B825" s="113"/>
      <c r="C825" s="113"/>
      <c r="D825" s="113"/>
      <c r="E825" s="113"/>
      <c r="F825" s="113"/>
      <c r="G825" s="113"/>
      <c r="H825" s="113"/>
      <c r="I825" s="113"/>
      <c r="J825" s="113"/>
      <c r="K825" s="113"/>
      <c r="L825" s="113"/>
      <c r="M825" s="113"/>
      <c r="N825" s="113"/>
      <c r="O825" s="113"/>
      <c r="P825" s="113"/>
      <c r="Q825" s="113"/>
      <c r="R825" s="113"/>
      <c r="S825" s="113"/>
      <c r="T825" s="113"/>
      <c r="U825" s="113"/>
      <c r="V825" s="113"/>
      <c r="W825" s="113"/>
      <c r="X825" s="113"/>
      <c r="Y825" s="113"/>
      <c r="Z825" s="113"/>
    </row>
    <row r="826">
      <c r="A826" s="113"/>
      <c r="B826" s="113"/>
      <c r="C826" s="113"/>
      <c r="D826" s="113"/>
      <c r="E826" s="113"/>
      <c r="F826" s="113"/>
      <c r="G826" s="113"/>
      <c r="H826" s="113"/>
      <c r="I826" s="113"/>
      <c r="J826" s="113"/>
      <c r="K826" s="113"/>
      <c r="L826" s="113"/>
      <c r="M826" s="113"/>
      <c r="N826" s="113"/>
      <c r="O826" s="113"/>
      <c r="P826" s="113"/>
      <c r="Q826" s="113"/>
      <c r="R826" s="113"/>
      <c r="S826" s="113"/>
      <c r="T826" s="113"/>
      <c r="U826" s="113"/>
      <c r="V826" s="113"/>
      <c r="W826" s="113"/>
      <c r="X826" s="113"/>
      <c r="Y826" s="113"/>
      <c r="Z826" s="113"/>
    </row>
    <row r="827">
      <c r="A827" s="113"/>
      <c r="B827" s="113"/>
      <c r="C827" s="113"/>
      <c r="D827" s="113"/>
      <c r="E827" s="113"/>
      <c r="F827" s="113"/>
      <c r="G827" s="113"/>
      <c r="H827" s="113"/>
      <c r="I827" s="113"/>
      <c r="J827" s="113"/>
      <c r="K827" s="113"/>
      <c r="L827" s="113"/>
      <c r="M827" s="113"/>
      <c r="N827" s="113"/>
      <c r="O827" s="113"/>
      <c r="P827" s="113"/>
      <c r="Q827" s="113"/>
      <c r="R827" s="113"/>
      <c r="S827" s="113"/>
      <c r="T827" s="113"/>
      <c r="U827" s="113"/>
      <c r="V827" s="113"/>
      <c r="W827" s="113"/>
      <c r="X827" s="113"/>
      <c r="Y827" s="113"/>
      <c r="Z827" s="113"/>
    </row>
    <row r="828">
      <c r="A828" s="113"/>
      <c r="B828" s="113"/>
      <c r="C828" s="113"/>
      <c r="D828" s="113"/>
      <c r="E828" s="113"/>
      <c r="F828" s="113"/>
      <c r="G828" s="113"/>
      <c r="H828" s="113"/>
      <c r="I828" s="113"/>
      <c r="J828" s="113"/>
      <c r="K828" s="113"/>
      <c r="L828" s="113"/>
      <c r="M828" s="113"/>
      <c r="N828" s="113"/>
      <c r="O828" s="113"/>
      <c r="P828" s="113"/>
      <c r="Q828" s="113"/>
      <c r="R828" s="113"/>
      <c r="S828" s="113"/>
      <c r="T828" s="113"/>
      <c r="U828" s="113"/>
      <c r="V828" s="113"/>
      <c r="W828" s="113"/>
      <c r="X828" s="113"/>
      <c r="Y828" s="113"/>
      <c r="Z828" s="113"/>
    </row>
    <row r="829">
      <c r="A829" s="113"/>
      <c r="B829" s="113"/>
      <c r="C829" s="113"/>
      <c r="D829" s="113"/>
      <c r="E829" s="113"/>
      <c r="F829" s="113"/>
      <c r="G829" s="113"/>
      <c r="H829" s="113"/>
      <c r="I829" s="113"/>
      <c r="J829" s="113"/>
      <c r="K829" s="113"/>
      <c r="L829" s="113"/>
      <c r="M829" s="113"/>
      <c r="N829" s="113"/>
      <c r="O829" s="113"/>
      <c r="P829" s="113"/>
      <c r="Q829" s="113"/>
      <c r="R829" s="113"/>
      <c r="S829" s="113"/>
      <c r="T829" s="113"/>
      <c r="U829" s="113"/>
      <c r="V829" s="113"/>
      <c r="W829" s="113"/>
      <c r="X829" s="113"/>
      <c r="Y829" s="113"/>
      <c r="Z829" s="113"/>
    </row>
    <row r="830">
      <c r="A830" s="113"/>
      <c r="B830" s="113"/>
      <c r="C830" s="113"/>
      <c r="D830" s="113"/>
      <c r="E830" s="113"/>
      <c r="F830" s="113"/>
      <c r="G830" s="113"/>
      <c r="H830" s="113"/>
      <c r="I830" s="113"/>
      <c r="J830" s="113"/>
      <c r="K830" s="113"/>
      <c r="L830" s="113"/>
      <c r="M830" s="113"/>
      <c r="N830" s="113"/>
      <c r="O830" s="113"/>
      <c r="P830" s="113"/>
      <c r="Q830" s="113"/>
      <c r="R830" s="113"/>
      <c r="S830" s="113"/>
      <c r="T830" s="113"/>
      <c r="U830" s="113"/>
      <c r="V830" s="113"/>
      <c r="W830" s="113"/>
      <c r="X830" s="113"/>
      <c r="Y830" s="113"/>
      <c r="Z830" s="113"/>
    </row>
    <row r="831">
      <c r="A831" s="113"/>
      <c r="B831" s="113"/>
      <c r="C831" s="113"/>
      <c r="D831" s="113"/>
      <c r="E831" s="113"/>
      <c r="F831" s="113"/>
      <c r="G831" s="113"/>
      <c r="H831" s="113"/>
      <c r="I831" s="113"/>
      <c r="J831" s="113"/>
      <c r="K831" s="113"/>
      <c r="L831" s="113"/>
      <c r="M831" s="113"/>
      <c r="N831" s="113"/>
      <c r="O831" s="113"/>
      <c r="P831" s="113"/>
      <c r="Q831" s="113"/>
      <c r="R831" s="113"/>
      <c r="S831" s="113"/>
      <c r="T831" s="113"/>
      <c r="U831" s="113"/>
      <c r="V831" s="113"/>
      <c r="W831" s="113"/>
      <c r="X831" s="113"/>
      <c r="Y831" s="113"/>
      <c r="Z831" s="113"/>
    </row>
    <row r="832">
      <c r="A832" s="113"/>
      <c r="B832" s="113"/>
      <c r="C832" s="113"/>
      <c r="D832" s="113"/>
      <c r="E832" s="113"/>
      <c r="F832" s="113"/>
      <c r="G832" s="113"/>
      <c r="H832" s="113"/>
      <c r="I832" s="113"/>
      <c r="J832" s="113"/>
      <c r="K832" s="113"/>
      <c r="L832" s="113"/>
      <c r="M832" s="113"/>
      <c r="N832" s="113"/>
      <c r="O832" s="113"/>
      <c r="P832" s="113"/>
      <c r="Q832" s="113"/>
      <c r="R832" s="113"/>
      <c r="S832" s="113"/>
      <c r="T832" s="113"/>
      <c r="U832" s="113"/>
      <c r="V832" s="113"/>
      <c r="W832" s="113"/>
      <c r="X832" s="113"/>
      <c r="Y832" s="113"/>
      <c r="Z832" s="113"/>
    </row>
    <row r="833">
      <c r="A833" s="113"/>
      <c r="B833" s="113"/>
      <c r="C833" s="113"/>
      <c r="D833" s="113"/>
      <c r="E833" s="113"/>
      <c r="F833" s="113"/>
      <c r="G833" s="113"/>
      <c r="H833" s="113"/>
      <c r="I833" s="113"/>
      <c r="J833" s="113"/>
      <c r="K833" s="113"/>
      <c r="L833" s="113"/>
      <c r="M833" s="113"/>
      <c r="N833" s="113"/>
      <c r="O833" s="113"/>
      <c r="P833" s="113"/>
      <c r="Q833" s="113"/>
      <c r="R833" s="113"/>
      <c r="S833" s="113"/>
      <c r="T833" s="113"/>
      <c r="U833" s="113"/>
      <c r="V833" s="113"/>
      <c r="W833" s="113"/>
      <c r="X833" s="113"/>
      <c r="Y833" s="113"/>
      <c r="Z833" s="113"/>
    </row>
    <row r="834">
      <c r="A834" s="113"/>
      <c r="B834" s="113"/>
      <c r="C834" s="113"/>
      <c r="D834" s="113"/>
      <c r="E834" s="113"/>
      <c r="F834" s="113"/>
      <c r="G834" s="113"/>
      <c r="H834" s="113"/>
      <c r="I834" s="113"/>
      <c r="J834" s="113"/>
      <c r="K834" s="113"/>
      <c r="L834" s="113"/>
      <c r="M834" s="113"/>
      <c r="N834" s="113"/>
      <c r="O834" s="113"/>
      <c r="P834" s="113"/>
      <c r="Q834" s="113"/>
      <c r="R834" s="113"/>
      <c r="S834" s="113"/>
      <c r="T834" s="113"/>
      <c r="U834" s="113"/>
      <c r="V834" s="113"/>
      <c r="W834" s="113"/>
      <c r="X834" s="113"/>
      <c r="Y834" s="113"/>
      <c r="Z834" s="113"/>
    </row>
    <row r="835">
      <c r="A835" s="113"/>
      <c r="B835" s="113"/>
      <c r="C835" s="113"/>
      <c r="D835" s="113"/>
      <c r="E835" s="113"/>
      <c r="F835" s="113"/>
      <c r="G835" s="113"/>
      <c r="H835" s="113"/>
      <c r="I835" s="113"/>
      <c r="J835" s="113"/>
      <c r="K835" s="113"/>
      <c r="L835" s="113"/>
      <c r="M835" s="113"/>
      <c r="N835" s="113"/>
      <c r="O835" s="113"/>
      <c r="P835" s="113"/>
      <c r="Q835" s="113"/>
      <c r="R835" s="113"/>
      <c r="S835" s="113"/>
      <c r="T835" s="113"/>
      <c r="U835" s="113"/>
      <c r="V835" s="113"/>
      <c r="W835" s="113"/>
      <c r="X835" s="113"/>
      <c r="Y835" s="113"/>
      <c r="Z835" s="113"/>
    </row>
    <row r="836">
      <c r="A836" s="113"/>
      <c r="B836" s="113"/>
      <c r="C836" s="113"/>
      <c r="D836" s="113"/>
      <c r="E836" s="113"/>
      <c r="F836" s="113"/>
      <c r="G836" s="113"/>
      <c r="H836" s="113"/>
      <c r="I836" s="113"/>
      <c r="J836" s="113"/>
      <c r="K836" s="113"/>
      <c r="L836" s="113"/>
      <c r="M836" s="113"/>
      <c r="N836" s="113"/>
      <c r="O836" s="113"/>
      <c r="P836" s="113"/>
      <c r="Q836" s="113"/>
      <c r="R836" s="113"/>
      <c r="S836" s="113"/>
      <c r="T836" s="113"/>
      <c r="U836" s="113"/>
      <c r="V836" s="113"/>
      <c r="W836" s="113"/>
      <c r="X836" s="113"/>
      <c r="Y836" s="113"/>
      <c r="Z836" s="113"/>
    </row>
    <row r="837">
      <c r="A837" s="113"/>
      <c r="B837" s="113"/>
      <c r="C837" s="113"/>
      <c r="D837" s="113"/>
      <c r="E837" s="113"/>
      <c r="F837" s="113"/>
      <c r="G837" s="113"/>
      <c r="H837" s="113"/>
      <c r="I837" s="113"/>
      <c r="J837" s="113"/>
      <c r="K837" s="113"/>
      <c r="L837" s="113"/>
      <c r="M837" s="113"/>
      <c r="N837" s="113"/>
      <c r="O837" s="113"/>
      <c r="P837" s="113"/>
      <c r="Q837" s="113"/>
      <c r="R837" s="113"/>
      <c r="S837" s="113"/>
      <c r="T837" s="113"/>
      <c r="U837" s="113"/>
      <c r="V837" s="113"/>
      <c r="W837" s="113"/>
      <c r="X837" s="113"/>
      <c r="Y837" s="113"/>
      <c r="Z837" s="113"/>
    </row>
    <row r="838">
      <c r="A838" s="113"/>
      <c r="B838" s="113"/>
      <c r="C838" s="113"/>
      <c r="D838" s="113"/>
      <c r="E838" s="113"/>
      <c r="F838" s="113"/>
      <c r="G838" s="113"/>
      <c r="H838" s="113"/>
      <c r="I838" s="113"/>
      <c r="J838" s="113"/>
      <c r="K838" s="113"/>
      <c r="L838" s="113"/>
      <c r="M838" s="113"/>
      <c r="N838" s="113"/>
      <c r="O838" s="113"/>
      <c r="P838" s="113"/>
      <c r="Q838" s="113"/>
      <c r="R838" s="113"/>
      <c r="S838" s="113"/>
      <c r="T838" s="113"/>
      <c r="U838" s="113"/>
      <c r="V838" s="113"/>
      <c r="W838" s="113"/>
      <c r="X838" s="113"/>
      <c r="Y838" s="113"/>
      <c r="Z838" s="113"/>
    </row>
    <row r="839">
      <c r="A839" s="113"/>
      <c r="B839" s="113"/>
      <c r="C839" s="113"/>
      <c r="D839" s="113"/>
      <c r="E839" s="113"/>
      <c r="F839" s="113"/>
      <c r="G839" s="113"/>
      <c r="H839" s="113"/>
      <c r="I839" s="113"/>
      <c r="J839" s="113"/>
      <c r="K839" s="113"/>
      <c r="L839" s="113"/>
      <c r="M839" s="113"/>
      <c r="N839" s="113"/>
      <c r="O839" s="113"/>
      <c r="P839" s="113"/>
      <c r="Q839" s="113"/>
      <c r="R839" s="113"/>
      <c r="S839" s="113"/>
      <c r="T839" s="113"/>
      <c r="U839" s="113"/>
      <c r="V839" s="113"/>
      <c r="W839" s="113"/>
      <c r="X839" s="113"/>
      <c r="Y839" s="113"/>
      <c r="Z839" s="113"/>
    </row>
    <row r="840">
      <c r="A840" s="113"/>
      <c r="B840" s="113"/>
      <c r="C840" s="113"/>
      <c r="D840" s="113"/>
      <c r="E840" s="113"/>
      <c r="F840" s="113"/>
      <c r="G840" s="113"/>
      <c r="H840" s="113"/>
      <c r="I840" s="113"/>
      <c r="J840" s="113"/>
      <c r="K840" s="113"/>
      <c r="L840" s="113"/>
      <c r="M840" s="113"/>
      <c r="N840" s="113"/>
      <c r="O840" s="113"/>
      <c r="P840" s="113"/>
      <c r="Q840" s="113"/>
      <c r="R840" s="113"/>
      <c r="S840" s="113"/>
      <c r="T840" s="113"/>
      <c r="U840" s="113"/>
      <c r="V840" s="113"/>
      <c r="W840" s="113"/>
      <c r="X840" s="113"/>
      <c r="Y840" s="113"/>
      <c r="Z840" s="113"/>
    </row>
    <row r="841">
      <c r="A841" s="113"/>
      <c r="B841" s="113"/>
      <c r="C841" s="113"/>
      <c r="D841" s="113"/>
      <c r="E841" s="113"/>
      <c r="F841" s="113"/>
      <c r="G841" s="113"/>
      <c r="H841" s="113"/>
      <c r="I841" s="113"/>
      <c r="J841" s="113"/>
      <c r="K841" s="113"/>
      <c r="L841" s="113"/>
      <c r="M841" s="113"/>
      <c r="N841" s="113"/>
      <c r="O841" s="113"/>
      <c r="P841" s="113"/>
      <c r="Q841" s="113"/>
      <c r="R841" s="113"/>
      <c r="S841" s="113"/>
      <c r="T841" s="113"/>
      <c r="U841" s="113"/>
      <c r="V841" s="113"/>
      <c r="W841" s="113"/>
      <c r="X841" s="113"/>
      <c r="Y841" s="113"/>
      <c r="Z841" s="113"/>
    </row>
    <row r="842">
      <c r="A842" s="113"/>
      <c r="B842" s="113"/>
      <c r="C842" s="113"/>
      <c r="D842" s="113"/>
      <c r="E842" s="113"/>
      <c r="F842" s="113"/>
      <c r="G842" s="113"/>
      <c r="H842" s="113"/>
      <c r="I842" s="113"/>
      <c r="J842" s="113"/>
      <c r="K842" s="113"/>
      <c r="L842" s="113"/>
      <c r="M842" s="113"/>
      <c r="N842" s="113"/>
      <c r="O842" s="113"/>
      <c r="P842" s="113"/>
      <c r="Q842" s="113"/>
      <c r="R842" s="113"/>
      <c r="S842" s="113"/>
      <c r="T842" s="113"/>
      <c r="U842" s="113"/>
      <c r="V842" s="113"/>
      <c r="W842" s="113"/>
      <c r="X842" s="113"/>
      <c r="Y842" s="113"/>
      <c r="Z842" s="113"/>
    </row>
    <row r="843">
      <c r="A843" s="113"/>
      <c r="B843" s="113"/>
      <c r="C843" s="113"/>
      <c r="D843" s="113"/>
      <c r="E843" s="113"/>
      <c r="F843" s="113"/>
      <c r="G843" s="113"/>
      <c r="H843" s="113"/>
      <c r="I843" s="113"/>
      <c r="J843" s="113"/>
      <c r="K843" s="113"/>
      <c r="L843" s="113"/>
      <c r="M843" s="113"/>
      <c r="N843" s="113"/>
      <c r="O843" s="113"/>
      <c r="P843" s="113"/>
      <c r="Q843" s="113"/>
      <c r="R843" s="113"/>
      <c r="S843" s="113"/>
      <c r="T843" s="113"/>
      <c r="U843" s="113"/>
      <c r="V843" s="113"/>
      <c r="W843" s="113"/>
      <c r="X843" s="113"/>
      <c r="Y843" s="113"/>
      <c r="Z843" s="113"/>
    </row>
    <row r="844">
      <c r="A844" s="113"/>
      <c r="B844" s="113"/>
      <c r="C844" s="113"/>
      <c r="D844" s="113"/>
      <c r="E844" s="113"/>
      <c r="F844" s="113"/>
      <c r="G844" s="113"/>
      <c r="H844" s="113"/>
      <c r="I844" s="113"/>
      <c r="J844" s="113"/>
      <c r="K844" s="113"/>
      <c r="L844" s="113"/>
      <c r="M844" s="113"/>
      <c r="N844" s="113"/>
      <c r="O844" s="113"/>
      <c r="P844" s="113"/>
      <c r="Q844" s="113"/>
      <c r="R844" s="113"/>
      <c r="S844" s="113"/>
      <c r="T844" s="113"/>
      <c r="U844" s="113"/>
      <c r="V844" s="113"/>
      <c r="W844" s="113"/>
      <c r="X844" s="113"/>
      <c r="Y844" s="113"/>
      <c r="Z844" s="113"/>
    </row>
    <row r="845">
      <c r="A845" s="113"/>
      <c r="B845" s="113"/>
      <c r="C845" s="113"/>
      <c r="D845" s="113"/>
      <c r="E845" s="113"/>
      <c r="F845" s="113"/>
      <c r="G845" s="113"/>
      <c r="H845" s="113"/>
      <c r="I845" s="113"/>
      <c r="J845" s="113"/>
      <c r="K845" s="113"/>
      <c r="L845" s="113"/>
      <c r="M845" s="113"/>
      <c r="N845" s="113"/>
      <c r="O845" s="113"/>
      <c r="P845" s="113"/>
      <c r="Q845" s="113"/>
      <c r="R845" s="113"/>
      <c r="S845" s="113"/>
      <c r="T845" s="113"/>
      <c r="U845" s="113"/>
      <c r="V845" s="113"/>
      <c r="W845" s="113"/>
      <c r="X845" s="113"/>
      <c r="Y845" s="113"/>
      <c r="Z845" s="113"/>
    </row>
    <row r="846">
      <c r="A846" s="113"/>
      <c r="B846" s="113"/>
      <c r="C846" s="113"/>
      <c r="D846" s="113"/>
      <c r="E846" s="113"/>
      <c r="F846" s="113"/>
      <c r="G846" s="113"/>
      <c r="H846" s="113"/>
      <c r="I846" s="113"/>
      <c r="J846" s="113"/>
      <c r="K846" s="113"/>
      <c r="L846" s="113"/>
      <c r="M846" s="113"/>
      <c r="N846" s="113"/>
      <c r="O846" s="113"/>
      <c r="P846" s="113"/>
      <c r="Q846" s="113"/>
      <c r="R846" s="113"/>
      <c r="S846" s="113"/>
      <c r="T846" s="113"/>
      <c r="U846" s="113"/>
      <c r="V846" s="113"/>
      <c r="W846" s="113"/>
      <c r="X846" s="113"/>
      <c r="Y846" s="113"/>
      <c r="Z846" s="113"/>
    </row>
    <row r="847">
      <c r="A847" s="113"/>
      <c r="B847" s="113"/>
      <c r="C847" s="113"/>
      <c r="D847" s="113"/>
      <c r="E847" s="113"/>
      <c r="F847" s="113"/>
      <c r="G847" s="113"/>
      <c r="H847" s="113"/>
      <c r="I847" s="113"/>
      <c r="J847" s="113"/>
      <c r="K847" s="113"/>
      <c r="L847" s="113"/>
      <c r="M847" s="113"/>
      <c r="N847" s="113"/>
      <c r="O847" s="113"/>
      <c r="P847" s="113"/>
      <c r="Q847" s="113"/>
      <c r="R847" s="113"/>
      <c r="S847" s="113"/>
      <c r="T847" s="113"/>
      <c r="U847" s="113"/>
      <c r="V847" s="113"/>
      <c r="W847" s="113"/>
      <c r="X847" s="113"/>
      <c r="Y847" s="113"/>
      <c r="Z847" s="113"/>
    </row>
    <row r="848">
      <c r="A848" s="113"/>
      <c r="B848" s="113"/>
      <c r="C848" s="113"/>
      <c r="D848" s="113"/>
      <c r="E848" s="113"/>
      <c r="F848" s="113"/>
      <c r="G848" s="113"/>
      <c r="H848" s="113"/>
      <c r="I848" s="113"/>
      <c r="J848" s="113"/>
      <c r="K848" s="113"/>
      <c r="L848" s="113"/>
      <c r="M848" s="113"/>
      <c r="N848" s="113"/>
      <c r="O848" s="113"/>
      <c r="P848" s="113"/>
      <c r="Q848" s="113"/>
      <c r="R848" s="113"/>
      <c r="S848" s="113"/>
      <c r="T848" s="113"/>
      <c r="U848" s="113"/>
      <c r="V848" s="113"/>
      <c r="W848" s="113"/>
      <c r="X848" s="113"/>
      <c r="Y848" s="113"/>
      <c r="Z848" s="113"/>
    </row>
    <row r="849">
      <c r="A849" s="113"/>
      <c r="B849" s="113"/>
      <c r="C849" s="113"/>
      <c r="D849" s="113"/>
      <c r="E849" s="113"/>
      <c r="F849" s="113"/>
      <c r="G849" s="113"/>
      <c r="H849" s="113"/>
      <c r="I849" s="113"/>
      <c r="J849" s="113"/>
      <c r="K849" s="113"/>
      <c r="L849" s="113"/>
      <c r="M849" s="113"/>
      <c r="N849" s="113"/>
      <c r="O849" s="113"/>
      <c r="P849" s="113"/>
      <c r="Q849" s="113"/>
      <c r="R849" s="113"/>
      <c r="S849" s="113"/>
      <c r="T849" s="113"/>
      <c r="U849" s="113"/>
      <c r="V849" s="113"/>
      <c r="W849" s="113"/>
      <c r="X849" s="113"/>
      <c r="Y849" s="113"/>
      <c r="Z849" s="113"/>
    </row>
    <row r="850">
      <c r="A850" s="113"/>
      <c r="B850" s="113"/>
      <c r="C850" s="113"/>
      <c r="D850" s="113"/>
      <c r="E850" s="113"/>
      <c r="F850" s="113"/>
      <c r="G850" s="113"/>
      <c r="H850" s="113"/>
      <c r="I850" s="113"/>
      <c r="J850" s="113"/>
      <c r="K850" s="113"/>
      <c r="L850" s="113"/>
      <c r="M850" s="113"/>
      <c r="N850" s="113"/>
      <c r="O850" s="113"/>
      <c r="P850" s="113"/>
      <c r="Q850" s="113"/>
      <c r="R850" s="113"/>
      <c r="S850" s="113"/>
      <c r="T850" s="113"/>
      <c r="U850" s="113"/>
      <c r="V850" s="113"/>
      <c r="W850" s="113"/>
      <c r="X850" s="113"/>
      <c r="Y850" s="113"/>
      <c r="Z850" s="113"/>
    </row>
    <row r="851">
      <c r="A851" s="113"/>
      <c r="B851" s="113"/>
      <c r="C851" s="113"/>
      <c r="D851" s="113"/>
      <c r="E851" s="113"/>
      <c r="F851" s="113"/>
      <c r="G851" s="113"/>
      <c r="H851" s="113"/>
      <c r="I851" s="113"/>
      <c r="J851" s="113"/>
      <c r="K851" s="113"/>
      <c r="L851" s="113"/>
      <c r="M851" s="113"/>
      <c r="N851" s="113"/>
      <c r="O851" s="113"/>
      <c r="P851" s="113"/>
      <c r="Q851" s="113"/>
      <c r="R851" s="113"/>
      <c r="S851" s="113"/>
      <c r="T851" s="113"/>
      <c r="U851" s="113"/>
      <c r="V851" s="113"/>
      <c r="W851" s="113"/>
      <c r="X851" s="113"/>
      <c r="Y851" s="113"/>
      <c r="Z851" s="113"/>
    </row>
    <row r="852">
      <c r="A852" s="113"/>
      <c r="B852" s="113"/>
      <c r="C852" s="113"/>
      <c r="D852" s="113"/>
      <c r="E852" s="113"/>
      <c r="F852" s="113"/>
      <c r="G852" s="113"/>
      <c r="H852" s="113"/>
      <c r="I852" s="113"/>
      <c r="J852" s="113"/>
      <c r="K852" s="113"/>
      <c r="L852" s="113"/>
      <c r="M852" s="113"/>
      <c r="N852" s="113"/>
      <c r="O852" s="113"/>
      <c r="P852" s="113"/>
      <c r="Q852" s="113"/>
      <c r="R852" s="113"/>
      <c r="S852" s="113"/>
      <c r="T852" s="113"/>
      <c r="U852" s="113"/>
      <c r="V852" s="113"/>
      <c r="W852" s="113"/>
      <c r="X852" s="113"/>
      <c r="Y852" s="113"/>
      <c r="Z852" s="113"/>
    </row>
    <row r="853">
      <c r="A853" s="113"/>
      <c r="B853" s="113"/>
      <c r="C853" s="113"/>
      <c r="D853" s="113"/>
      <c r="E853" s="113"/>
      <c r="F853" s="113"/>
      <c r="G853" s="113"/>
      <c r="H853" s="113"/>
      <c r="I853" s="113"/>
      <c r="J853" s="113"/>
      <c r="K853" s="113"/>
      <c r="L853" s="113"/>
      <c r="M853" s="113"/>
      <c r="N853" s="113"/>
      <c r="O853" s="113"/>
      <c r="P853" s="113"/>
      <c r="Q853" s="113"/>
      <c r="R853" s="113"/>
      <c r="S853" s="113"/>
      <c r="T853" s="113"/>
      <c r="U853" s="113"/>
      <c r="V853" s="113"/>
      <c r="W853" s="113"/>
      <c r="X853" s="113"/>
      <c r="Y853" s="113"/>
      <c r="Z853" s="113"/>
    </row>
    <row r="854">
      <c r="A854" s="113"/>
      <c r="B854" s="113"/>
      <c r="C854" s="113"/>
      <c r="D854" s="113"/>
      <c r="E854" s="113"/>
      <c r="F854" s="113"/>
      <c r="G854" s="113"/>
      <c r="H854" s="113"/>
      <c r="I854" s="113"/>
      <c r="J854" s="113"/>
      <c r="K854" s="113"/>
      <c r="L854" s="113"/>
      <c r="M854" s="113"/>
      <c r="N854" s="113"/>
      <c r="O854" s="113"/>
      <c r="P854" s="113"/>
      <c r="Q854" s="113"/>
      <c r="R854" s="113"/>
      <c r="S854" s="113"/>
      <c r="T854" s="113"/>
      <c r="U854" s="113"/>
      <c r="V854" s="113"/>
      <c r="W854" s="113"/>
      <c r="X854" s="113"/>
      <c r="Y854" s="113"/>
      <c r="Z854" s="113"/>
    </row>
    <row r="855">
      <c r="A855" s="113"/>
      <c r="B855" s="113"/>
      <c r="C855" s="113"/>
      <c r="D855" s="113"/>
      <c r="E855" s="113"/>
      <c r="F855" s="113"/>
      <c r="G855" s="113"/>
      <c r="H855" s="113"/>
      <c r="I855" s="113"/>
      <c r="J855" s="113"/>
      <c r="K855" s="113"/>
      <c r="L855" s="113"/>
      <c r="M855" s="113"/>
      <c r="N855" s="113"/>
      <c r="O855" s="113"/>
      <c r="P855" s="113"/>
      <c r="Q855" s="113"/>
      <c r="R855" s="113"/>
      <c r="S855" s="113"/>
      <c r="T855" s="113"/>
      <c r="U855" s="113"/>
      <c r="V855" s="113"/>
      <c r="W855" s="113"/>
      <c r="X855" s="113"/>
      <c r="Y855" s="113"/>
      <c r="Z855" s="113"/>
    </row>
    <row r="856">
      <c r="A856" s="113"/>
      <c r="B856" s="113"/>
      <c r="C856" s="113"/>
      <c r="D856" s="113"/>
      <c r="E856" s="113"/>
      <c r="F856" s="113"/>
      <c r="G856" s="113"/>
      <c r="H856" s="113"/>
      <c r="I856" s="113"/>
      <c r="J856" s="113"/>
      <c r="K856" s="113"/>
      <c r="L856" s="113"/>
      <c r="M856" s="113"/>
      <c r="N856" s="113"/>
      <c r="O856" s="113"/>
      <c r="P856" s="113"/>
      <c r="Q856" s="113"/>
      <c r="R856" s="113"/>
      <c r="S856" s="113"/>
      <c r="T856" s="113"/>
      <c r="U856" s="113"/>
      <c r="V856" s="113"/>
      <c r="W856" s="113"/>
      <c r="X856" s="113"/>
      <c r="Y856" s="113"/>
      <c r="Z856" s="113"/>
    </row>
    <row r="857">
      <c r="A857" s="113"/>
      <c r="B857" s="113"/>
      <c r="C857" s="113"/>
      <c r="D857" s="113"/>
      <c r="E857" s="113"/>
      <c r="F857" s="113"/>
      <c r="G857" s="113"/>
      <c r="H857" s="113"/>
      <c r="I857" s="113"/>
      <c r="J857" s="113"/>
      <c r="K857" s="113"/>
      <c r="L857" s="113"/>
      <c r="M857" s="113"/>
      <c r="N857" s="113"/>
      <c r="O857" s="113"/>
      <c r="P857" s="113"/>
      <c r="Q857" s="113"/>
      <c r="R857" s="113"/>
      <c r="S857" s="113"/>
      <c r="T857" s="113"/>
      <c r="U857" s="113"/>
      <c r="V857" s="113"/>
      <c r="W857" s="113"/>
      <c r="X857" s="113"/>
      <c r="Y857" s="113"/>
      <c r="Z857" s="113"/>
    </row>
    <row r="858">
      <c r="A858" s="113"/>
      <c r="B858" s="113"/>
      <c r="C858" s="113"/>
      <c r="D858" s="113"/>
      <c r="E858" s="113"/>
      <c r="F858" s="113"/>
      <c r="G858" s="113"/>
      <c r="H858" s="113"/>
      <c r="I858" s="113"/>
      <c r="J858" s="113"/>
      <c r="K858" s="113"/>
      <c r="L858" s="113"/>
      <c r="M858" s="113"/>
      <c r="N858" s="113"/>
      <c r="O858" s="113"/>
      <c r="P858" s="113"/>
      <c r="Q858" s="113"/>
      <c r="R858" s="113"/>
      <c r="S858" s="113"/>
      <c r="T858" s="113"/>
      <c r="U858" s="113"/>
      <c r="V858" s="113"/>
      <c r="W858" s="113"/>
      <c r="X858" s="113"/>
      <c r="Y858" s="113"/>
      <c r="Z858" s="113"/>
    </row>
    <row r="859">
      <c r="A859" s="113"/>
      <c r="B859" s="113"/>
      <c r="C859" s="113"/>
      <c r="D859" s="113"/>
      <c r="E859" s="113"/>
      <c r="F859" s="113"/>
      <c r="G859" s="113"/>
      <c r="H859" s="113"/>
      <c r="I859" s="113"/>
      <c r="J859" s="113"/>
      <c r="K859" s="113"/>
      <c r="L859" s="113"/>
      <c r="M859" s="113"/>
      <c r="N859" s="113"/>
      <c r="O859" s="113"/>
      <c r="P859" s="113"/>
      <c r="Q859" s="113"/>
      <c r="R859" s="113"/>
      <c r="S859" s="113"/>
      <c r="T859" s="113"/>
      <c r="U859" s="113"/>
      <c r="V859" s="113"/>
      <c r="W859" s="113"/>
      <c r="X859" s="113"/>
      <c r="Y859" s="113"/>
      <c r="Z859" s="113"/>
    </row>
    <row r="860">
      <c r="A860" s="113"/>
      <c r="B860" s="113"/>
      <c r="C860" s="113"/>
      <c r="D860" s="113"/>
      <c r="E860" s="113"/>
      <c r="F860" s="113"/>
      <c r="G860" s="113"/>
      <c r="H860" s="113"/>
      <c r="I860" s="113"/>
      <c r="J860" s="113"/>
      <c r="K860" s="113"/>
      <c r="L860" s="113"/>
      <c r="M860" s="113"/>
      <c r="N860" s="113"/>
      <c r="O860" s="113"/>
      <c r="P860" s="113"/>
      <c r="Q860" s="113"/>
      <c r="R860" s="113"/>
      <c r="S860" s="113"/>
      <c r="T860" s="113"/>
      <c r="U860" s="113"/>
      <c r="V860" s="113"/>
      <c r="W860" s="113"/>
      <c r="X860" s="113"/>
      <c r="Y860" s="113"/>
      <c r="Z860" s="113"/>
    </row>
    <row r="861">
      <c r="A861" s="113"/>
      <c r="B861" s="113"/>
      <c r="C861" s="113"/>
      <c r="D861" s="113"/>
      <c r="E861" s="113"/>
      <c r="F861" s="113"/>
      <c r="G861" s="113"/>
      <c r="H861" s="113"/>
      <c r="I861" s="113"/>
      <c r="J861" s="113"/>
      <c r="K861" s="113"/>
      <c r="L861" s="113"/>
      <c r="M861" s="113"/>
      <c r="N861" s="113"/>
      <c r="O861" s="113"/>
      <c r="P861" s="113"/>
      <c r="Q861" s="113"/>
      <c r="R861" s="113"/>
      <c r="S861" s="113"/>
      <c r="T861" s="113"/>
      <c r="U861" s="113"/>
      <c r="V861" s="113"/>
      <c r="W861" s="113"/>
      <c r="X861" s="113"/>
      <c r="Y861" s="113"/>
      <c r="Z861" s="113"/>
    </row>
    <row r="862">
      <c r="A862" s="113"/>
      <c r="B862" s="113"/>
      <c r="C862" s="113"/>
      <c r="D862" s="113"/>
      <c r="E862" s="113"/>
      <c r="F862" s="113"/>
      <c r="G862" s="113"/>
      <c r="H862" s="113"/>
      <c r="I862" s="113"/>
      <c r="J862" s="113"/>
      <c r="K862" s="113"/>
      <c r="L862" s="113"/>
      <c r="M862" s="113"/>
      <c r="N862" s="113"/>
      <c r="O862" s="113"/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3"/>
    </row>
    <row r="863">
      <c r="A863" s="113"/>
      <c r="B863" s="113"/>
      <c r="C863" s="113"/>
      <c r="D863" s="113"/>
      <c r="E863" s="113"/>
      <c r="F863" s="113"/>
      <c r="G863" s="113"/>
      <c r="H863" s="113"/>
      <c r="I863" s="113"/>
      <c r="J863" s="113"/>
      <c r="K863" s="113"/>
      <c r="L863" s="113"/>
      <c r="M863" s="113"/>
      <c r="N863" s="113"/>
      <c r="O863" s="113"/>
      <c r="P863" s="113"/>
      <c r="Q863" s="113"/>
      <c r="R863" s="113"/>
      <c r="S863" s="113"/>
      <c r="T863" s="113"/>
      <c r="U863" s="113"/>
      <c r="V863" s="113"/>
      <c r="W863" s="113"/>
      <c r="X863" s="113"/>
      <c r="Y863" s="113"/>
      <c r="Z863" s="113"/>
    </row>
    <row r="864">
      <c r="A864" s="113"/>
      <c r="B864" s="113"/>
      <c r="C864" s="113"/>
      <c r="D864" s="113"/>
      <c r="E864" s="113"/>
      <c r="F864" s="113"/>
      <c r="G864" s="113"/>
      <c r="H864" s="113"/>
      <c r="I864" s="113"/>
      <c r="J864" s="113"/>
      <c r="K864" s="113"/>
      <c r="L864" s="113"/>
      <c r="M864" s="113"/>
      <c r="N864" s="113"/>
      <c r="O864" s="113"/>
      <c r="P864" s="113"/>
      <c r="Q864" s="113"/>
      <c r="R864" s="113"/>
      <c r="S864" s="113"/>
      <c r="T864" s="113"/>
      <c r="U864" s="113"/>
      <c r="V864" s="113"/>
      <c r="W864" s="113"/>
      <c r="X864" s="113"/>
      <c r="Y864" s="113"/>
      <c r="Z864" s="113"/>
    </row>
    <row r="865">
      <c r="A865" s="113"/>
      <c r="B865" s="113"/>
      <c r="C865" s="113"/>
      <c r="D865" s="113"/>
      <c r="E865" s="113"/>
      <c r="F865" s="113"/>
      <c r="G865" s="113"/>
      <c r="H865" s="113"/>
      <c r="I865" s="113"/>
      <c r="J865" s="113"/>
      <c r="K865" s="113"/>
      <c r="L865" s="113"/>
      <c r="M865" s="113"/>
      <c r="N865" s="113"/>
      <c r="O865" s="113"/>
      <c r="P865" s="113"/>
      <c r="Q865" s="113"/>
      <c r="R865" s="113"/>
      <c r="S865" s="113"/>
      <c r="T865" s="113"/>
      <c r="U865" s="113"/>
      <c r="V865" s="113"/>
      <c r="W865" s="113"/>
      <c r="X865" s="113"/>
      <c r="Y865" s="113"/>
      <c r="Z865" s="113"/>
    </row>
    <row r="866">
      <c r="A866" s="113"/>
      <c r="B866" s="113"/>
      <c r="C866" s="113"/>
      <c r="D866" s="113"/>
      <c r="E866" s="113"/>
      <c r="F866" s="113"/>
      <c r="G866" s="113"/>
      <c r="H866" s="113"/>
      <c r="I866" s="113"/>
      <c r="J866" s="113"/>
      <c r="K866" s="113"/>
      <c r="L866" s="113"/>
      <c r="M866" s="113"/>
      <c r="N866" s="113"/>
      <c r="O866" s="113"/>
      <c r="P866" s="113"/>
      <c r="Q866" s="113"/>
      <c r="R866" s="113"/>
      <c r="S866" s="113"/>
      <c r="T866" s="113"/>
      <c r="U866" s="113"/>
      <c r="V866" s="113"/>
      <c r="W866" s="113"/>
      <c r="X866" s="113"/>
      <c r="Y866" s="113"/>
      <c r="Z866" s="113"/>
    </row>
    <row r="867">
      <c r="A867" s="113"/>
      <c r="B867" s="113"/>
      <c r="C867" s="113"/>
      <c r="D867" s="113"/>
      <c r="E867" s="113"/>
      <c r="F867" s="113"/>
      <c r="G867" s="113"/>
      <c r="H867" s="113"/>
      <c r="I867" s="113"/>
      <c r="J867" s="113"/>
      <c r="K867" s="113"/>
      <c r="L867" s="113"/>
      <c r="M867" s="113"/>
      <c r="N867" s="113"/>
      <c r="O867" s="113"/>
      <c r="P867" s="113"/>
      <c r="Q867" s="113"/>
      <c r="R867" s="113"/>
      <c r="S867" s="113"/>
      <c r="T867" s="113"/>
      <c r="U867" s="113"/>
      <c r="V867" s="113"/>
      <c r="W867" s="113"/>
      <c r="X867" s="113"/>
      <c r="Y867" s="113"/>
      <c r="Z867" s="113"/>
    </row>
    <row r="868">
      <c r="A868" s="113"/>
      <c r="B868" s="113"/>
      <c r="C868" s="113"/>
      <c r="D868" s="113"/>
      <c r="E868" s="113"/>
      <c r="F868" s="113"/>
      <c r="G868" s="113"/>
      <c r="H868" s="113"/>
      <c r="I868" s="113"/>
      <c r="J868" s="113"/>
      <c r="K868" s="113"/>
      <c r="L868" s="113"/>
      <c r="M868" s="113"/>
      <c r="N868" s="113"/>
      <c r="O868" s="113"/>
      <c r="P868" s="113"/>
      <c r="Q868" s="113"/>
      <c r="R868" s="113"/>
      <c r="S868" s="113"/>
      <c r="T868" s="113"/>
      <c r="U868" s="113"/>
      <c r="V868" s="113"/>
      <c r="W868" s="113"/>
      <c r="X868" s="113"/>
      <c r="Y868" s="113"/>
      <c r="Z868" s="113"/>
    </row>
    <row r="869">
      <c r="A869" s="113"/>
      <c r="B869" s="113"/>
      <c r="C869" s="113"/>
      <c r="D869" s="113"/>
      <c r="E869" s="113"/>
      <c r="F869" s="113"/>
      <c r="G869" s="113"/>
      <c r="H869" s="113"/>
      <c r="I869" s="113"/>
      <c r="J869" s="113"/>
      <c r="K869" s="113"/>
      <c r="L869" s="113"/>
      <c r="M869" s="113"/>
      <c r="N869" s="113"/>
      <c r="O869" s="113"/>
      <c r="P869" s="113"/>
      <c r="Q869" s="113"/>
      <c r="R869" s="113"/>
      <c r="S869" s="113"/>
      <c r="T869" s="113"/>
      <c r="U869" s="113"/>
      <c r="V869" s="113"/>
      <c r="W869" s="113"/>
      <c r="X869" s="113"/>
      <c r="Y869" s="113"/>
      <c r="Z869" s="113"/>
    </row>
    <row r="870">
      <c r="A870" s="113"/>
      <c r="B870" s="113"/>
      <c r="C870" s="113"/>
      <c r="D870" s="113"/>
      <c r="E870" s="113"/>
      <c r="F870" s="113"/>
      <c r="G870" s="113"/>
      <c r="H870" s="113"/>
      <c r="I870" s="113"/>
      <c r="J870" s="113"/>
      <c r="K870" s="113"/>
      <c r="L870" s="113"/>
      <c r="M870" s="113"/>
      <c r="N870" s="113"/>
      <c r="O870" s="113"/>
      <c r="P870" s="113"/>
      <c r="Q870" s="113"/>
      <c r="R870" s="113"/>
      <c r="S870" s="113"/>
      <c r="T870" s="113"/>
      <c r="U870" s="113"/>
      <c r="V870" s="113"/>
      <c r="W870" s="113"/>
      <c r="X870" s="113"/>
      <c r="Y870" s="113"/>
      <c r="Z870" s="113"/>
    </row>
    <row r="871">
      <c r="A871" s="113"/>
      <c r="B871" s="113"/>
      <c r="C871" s="113"/>
      <c r="D871" s="113"/>
      <c r="E871" s="113"/>
      <c r="F871" s="113"/>
      <c r="G871" s="113"/>
      <c r="H871" s="113"/>
      <c r="I871" s="113"/>
      <c r="J871" s="113"/>
      <c r="K871" s="113"/>
      <c r="L871" s="113"/>
      <c r="M871" s="113"/>
      <c r="N871" s="113"/>
      <c r="O871" s="113"/>
      <c r="P871" s="113"/>
      <c r="Q871" s="113"/>
      <c r="R871" s="113"/>
      <c r="S871" s="113"/>
      <c r="T871" s="113"/>
      <c r="U871" s="113"/>
      <c r="V871" s="113"/>
      <c r="W871" s="113"/>
      <c r="X871" s="113"/>
      <c r="Y871" s="113"/>
      <c r="Z871" s="113"/>
    </row>
    <row r="872">
      <c r="A872" s="113"/>
      <c r="B872" s="113"/>
      <c r="C872" s="113"/>
      <c r="D872" s="113"/>
      <c r="E872" s="113"/>
      <c r="F872" s="113"/>
      <c r="G872" s="113"/>
      <c r="H872" s="113"/>
      <c r="I872" s="113"/>
      <c r="J872" s="113"/>
      <c r="K872" s="113"/>
      <c r="L872" s="113"/>
      <c r="M872" s="113"/>
      <c r="N872" s="113"/>
      <c r="O872" s="113"/>
      <c r="P872" s="113"/>
      <c r="Q872" s="113"/>
      <c r="R872" s="113"/>
      <c r="S872" s="113"/>
      <c r="T872" s="113"/>
      <c r="U872" s="113"/>
      <c r="V872" s="113"/>
      <c r="W872" s="113"/>
      <c r="X872" s="113"/>
      <c r="Y872" s="113"/>
      <c r="Z872" s="113"/>
    </row>
    <row r="873">
      <c r="A873" s="113"/>
      <c r="B873" s="113"/>
      <c r="C873" s="113"/>
      <c r="D873" s="113"/>
      <c r="E873" s="113"/>
      <c r="F873" s="113"/>
      <c r="G873" s="113"/>
      <c r="H873" s="113"/>
      <c r="I873" s="113"/>
      <c r="J873" s="113"/>
      <c r="K873" s="113"/>
      <c r="L873" s="113"/>
      <c r="M873" s="113"/>
      <c r="N873" s="113"/>
      <c r="O873" s="113"/>
      <c r="P873" s="113"/>
      <c r="Q873" s="113"/>
      <c r="R873" s="113"/>
      <c r="S873" s="113"/>
      <c r="T873" s="113"/>
      <c r="U873" s="113"/>
      <c r="V873" s="113"/>
      <c r="W873" s="113"/>
      <c r="X873" s="113"/>
      <c r="Y873" s="113"/>
      <c r="Z873" s="113"/>
    </row>
    <row r="874">
      <c r="A874" s="113"/>
      <c r="B874" s="113"/>
      <c r="C874" s="113"/>
      <c r="D874" s="113"/>
      <c r="E874" s="113"/>
      <c r="F874" s="113"/>
      <c r="G874" s="113"/>
      <c r="H874" s="113"/>
      <c r="I874" s="113"/>
      <c r="J874" s="113"/>
      <c r="K874" s="113"/>
      <c r="L874" s="113"/>
      <c r="M874" s="113"/>
      <c r="N874" s="113"/>
      <c r="O874" s="113"/>
      <c r="P874" s="113"/>
      <c r="Q874" s="113"/>
      <c r="R874" s="113"/>
      <c r="S874" s="113"/>
      <c r="T874" s="113"/>
      <c r="U874" s="113"/>
      <c r="V874" s="113"/>
      <c r="W874" s="113"/>
      <c r="X874" s="113"/>
      <c r="Y874" s="113"/>
      <c r="Z874" s="113"/>
    </row>
    <row r="875">
      <c r="A875" s="113"/>
      <c r="B875" s="113"/>
      <c r="C875" s="113"/>
      <c r="D875" s="113"/>
      <c r="E875" s="113"/>
      <c r="F875" s="113"/>
      <c r="G875" s="113"/>
      <c r="H875" s="113"/>
      <c r="I875" s="113"/>
      <c r="J875" s="113"/>
      <c r="K875" s="113"/>
      <c r="L875" s="113"/>
      <c r="M875" s="113"/>
      <c r="N875" s="113"/>
      <c r="O875" s="113"/>
      <c r="P875" s="113"/>
      <c r="Q875" s="113"/>
      <c r="R875" s="113"/>
      <c r="S875" s="113"/>
      <c r="T875" s="113"/>
      <c r="U875" s="113"/>
      <c r="V875" s="113"/>
      <c r="W875" s="113"/>
      <c r="X875" s="113"/>
      <c r="Y875" s="113"/>
      <c r="Z875" s="113"/>
    </row>
    <row r="876">
      <c r="A876" s="113"/>
      <c r="B876" s="113"/>
      <c r="C876" s="113"/>
      <c r="D876" s="113"/>
      <c r="E876" s="113"/>
      <c r="F876" s="113"/>
      <c r="G876" s="113"/>
      <c r="H876" s="113"/>
      <c r="I876" s="113"/>
      <c r="J876" s="113"/>
      <c r="K876" s="113"/>
      <c r="L876" s="113"/>
      <c r="M876" s="113"/>
      <c r="N876" s="113"/>
      <c r="O876" s="113"/>
      <c r="P876" s="113"/>
      <c r="Q876" s="113"/>
      <c r="R876" s="113"/>
      <c r="S876" s="113"/>
      <c r="T876" s="113"/>
      <c r="U876" s="113"/>
      <c r="V876" s="113"/>
      <c r="W876" s="113"/>
      <c r="X876" s="113"/>
      <c r="Y876" s="113"/>
      <c r="Z876" s="113"/>
    </row>
    <row r="877">
      <c r="A877" s="113"/>
      <c r="B877" s="113"/>
      <c r="C877" s="113"/>
      <c r="D877" s="113"/>
      <c r="E877" s="113"/>
      <c r="F877" s="113"/>
      <c r="G877" s="113"/>
      <c r="H877" s="113"/>
      <c r="I877" s="113"/>
      <c r="J877" s="113"/>
      <c r="K877" s="113"/>
      <c r="L877" s="113"/>
      <c r="M877" s="113"/>
      <c r="N877" s="113"/>
      <c r="O877" s="113"/>
      <c r="P877" s="113"/>
      <c r="Q877" s="113"/>
      <c r="R877" s="113"/>
      <c r="S877" s="113"/>
      <c r="T877" s="113"/>
      <c r="U877" s="113"/>
      <c r="V877" s="113"/>
      <c r="W877" s="113"/>
      <c r="X877" s="113"/>
      <c r="Y877" s="113"/>
      <c r="Z877" s="113"/>
    </row>
    <row r="878">
      <c r="A878" s="113"/>
      <c r="B878" s="113"/>
      <c r="C878" s="113"/>
      <c r="D878" s="113"/>
      <c r="E878" s="113"/>
      <c r="F878" s="113"/>
      <c r="G878" s="113"/>
      <c r="H878" s="113"/>
      <c r="I878" s="113"/>
      <c r="J878" s="113"/>
      <c r="K878" s="113"/>
      <c r="L878" s="113"/>
      <c r="M878" s="113"/>
      <c r="N878" s="113"/>
      <c r="O878" s="113"/>
      <c r="P878" s="113"/>
      <c r="Q878" s="113"/>
      <c r="R878" s="113"/>
      <c r="S878" s="113"/>
      <c r="T878" s="113"/>
      <c r="U878" s="113"/>
      <c r="V878" s="113"/>
      <c r="W878" s="113"/>
      <c r="X878" s="113"/>
      <c r="Y878" s="113"/>
      <c r="Z878" s="113"/>
    </row>
    <row r="879">
      <c r="A879" s="113"/>
      <c r="B879" s="113"/>
      <c r="C879" s="113"/>
      <c r="D879" s="113"/>
      <c r="E879" s="113"/>
      <c r="F879" s="113"/>
      <c r="G879" s="113"/>
      <c r="H879" s="113"/>
      <c r="I879" s="113"/>
      <c r="J879" s="113"/>
      <c r="K879" s="113"/>
      <c r="L879" s="113"/>
      <c r="M879" s="113"/>
      <c r="N879" s="113"/>
      <c r="O879" s="113"/>
      <c r="P879" s="113"/>
      <c r="Q879" s="113"/>
      <c r="R879" s="113"/>
      <c r="S879" s="113"/>
      <c r="T879" s="113"/>
      <c r="U879" s="113"/>
      <c r="V879" s="113"/>
      <c r="W879" s="113"/>
      <c r="X879" s="113"/>
      <c r="Y879" s="113"/>
      <c r="Z879" s="113"/>
    </row>
    <row r="880">
      <c r="A880" s="113"/>
      <c r="B880" s="113"/>
      <c r="C880" s="113"/>
      <c r="D880" s="113"/>
      <c r="E880" s="113"/>
      <c r="F880" s="113"/>
      <c r="G880" s="113"/>
      <c r="H880" s="113"/>
      <c r="I880" s="113"/>
      <c r="J880" s="113"/>
      <c r="K880" s="113"/>
      <c r="L880" s="113"/>
      <c r="M880" s="113"/>
      <c r="N880" s="113"/>
      <c r="O880" s="113"/>
      <c r="P880" s="113"/>
      <c r="Q880" s="113"/>
      <c r="R880" s="113"/>
      <c r="S880" s="113"/>
      <c r="T880" s="113"/>
      <c r="U880" s="113"/>
      <c r="V880" s="113"/>
      <c r="W880" s="113"/>
      <c r="X880" s="113"/>
      <c r="Y880" s="113"/>
      <c r="Z880" s="113"/>
    </row>
    <row r="881">
      <c r="A881" s="113"/>
      <c r="B881" s="113"/>
      <c r="C881" s="113"/>
      <c r="D881" s="113"/>
      <c r="E881" s="113"/>
      <c r="F881" s="113"/>
      <c r="G881" s="113"/>
      <c r="H881" s="113"/>
      <c r="I881" s="113"/>
      <c r="J881" s="113"/>
      <c r="K881" s="113"/>
      <c r="L881" s="113"/>
      <c r="M881" s="113"/>
      <c r="N881" s="113"/>
      <c r="O881" s="113"/>
      <c r="P881" s="113"/>
      <c r="Q881" s="113"/>
      <c r="R881" s="113"/>
      <c r="S881" s="113"/>
      <c r="T881" s="113"/>
      <c r="U881" s="113"/>
      <c r="V881" s="113"/>
      <c r="W881" s="113"/>
      <c r="X881" s="113"/>
      <c r="Y881" s="113"/>
      <c r="Z881" s="113"/>
    </row>
    <row r="882">
      <c r="A882" s="113"/>
      <c r="B882" s="113"/>
      <c r="C882" s="113"/>
      <c r="D882" s="113"/>
      <c r="E882" s="113"/>
      <c r="F882" s="113"/>
      <c r="G882" s="113"/>
      <c r="H882" s="113"/>
      <c r="I882" s="113"/>
      <c r="J882" s="113"/>
      <c r="K882" s="113"/>
      <c r="L882" s="113"/>
      <c r="M882" s="113"/>
      <c r="N882" s="113"/>
      <c r="O882" s="113"/>
      <c r="P882" s="113"/>
      <c r="Q882" s="113"/>
      <c r="R882" s="113"/>
      <c r="S882" s="113"/>
      <c r="T882" s="113"/>
      <c r="U882" s="113"/>
      <c r="V882" s="113"/>
      <c r="W882" s="113"/>
      <c r="X882" s="113"/>
      <c r="Y882" s="113"/>
      <c r="Z882" s="113"/>
    </row>
    <row r="883">
      <c r="A883" s="113"/>
      <c r="B883" s="113"/>
      <c r="C883" s="113"/>
      <c r="D883" s="113"/>
      <c r="E883" s="113"/>
      <c r="F883" s="113"/>
      <c r="G883" s="113"/>
      <c r="H883" s="113"/>
      <c r="I883" s="113"/>
      <c r="J883" s="113"/>
      <c r="K883" s="113"/>
      <c r="L883" s="113"/>
      <c r="M883" s="113"/>
      <c r="N883" s="113"/>
      <c r="O883" s="113"/>
      <c r="P883" s="113"/>
      <c r="Q883" s="113"/>
      <c r="R883" s="113"/>
      <c r="S883" s="113"/>
      <c r="T883" s="113"/>
      <c r="U883" s="113"/>
      <c r="V883" s="113"/>
      <c r="W883" s="113"/>
      <c r="X883" s="113"/>
      <c r="Y883" s="113"/>
      <c r="Z883" s="113"/>
    </row>
    <row r="884">
      <c r="A884" s="113"/>
      <c r="B884" s="113"/>
      <c r="C884" s="113"/>
      <c r="D884" s="113"/>
      <c r="E884" s="113"/>
      <c r="F884" s="113"/>
      <c r="G884" s="113"/>
      <c r="H884" s="113"/>
      <c r="I884" s="113"/>
      <c r="J884" s="113"/>
      <c r="K884" s="113"/>
      <c r="L884" s="113"/>
      <c r="M884" s="113"/>
      <c r="N884" s="113"/>
      <c r="O884" s="113"/>
      <c r="P884" s="113"/>
      <c r="Q884" s="113"/>
      <c r="R884" s="113"/>
      <c r="S884" s="113"/>
      <c r="T884" s="113"/>
      <c r="U884" s="113"/>
      <c r="V884" s="113"/>
      <c r="W884" s="113"/>
      <c r="X884" s="113"/>
      <c r="Y884" s="113"/>
      <c r="Z884" s="113"/>
    </row>
    <row r="885">
      <c r="A885" s="113"/>
      <c r="B885" s="113"/>
      <c r="C885" s="113"/>
      <c r="D885" s="113"/>
      <c r="E885" s="113"/>
      <c r="F885" s="113"/>
      <c r="G885" s="113"/>
      <c r="H885" s="113"/>
      <c r="I885" s="113"/>
      <c r="J885" s="113"/>
      <c r="K885" s="113"/>
      <c r="L885" s="113"/>
      <c r="M885" s="113"/>
      <c r="N885" s="113"/>
      <c r="O885" s="113"/>
      <c r="P885" s="113"/>
      <c r="Q885" s="113"/>
      <c r="R885" s="113"/>
      <c r="S885" s="113"/>
      <c r="T885" s="113"/>
      <c r="U885" s="113"/>
      <c r="V885" s="113"/>
      <c r="W885" s="113"/>
      <c r="X885" s="113"/>
      <c r="Y885" s="113"/>
      <c r="Z885" s="113"/>
    </row>
    <row r="886">
      <c r="A886" s="113"/>
      <c r="B886" s="113"/>
      <c r="C886" s="113"/>
      <c r="D886" s="113"/>
      <c r="E886" s="113"/>
      <c r="F886" s="113"/>
      <c r="G886" s="113"/>
      <c r="H886" s="113"/>
      <c r="I886" s="113"/>
      <c r="J886" s="113"/>
      <c r="K886" s="113"/>
      <c r="L886" s="113"/>
      <c r="M886" s="113"/>
      <c r="N886" s="113"/>
      <c r="O886" s="113"/>
      <c r="P886" s="113"/>
      <c r="Q886" s="113"/>
      <c r="R886" s="113"/>
      <c r="S886" s="113"/>
      <c r="T886" s="113"/>
      <c r="U886" s="113"/>
      <c r="V886" s="113"/>
      <c r="W886" s="113"/>
      <c r="X886" s="113"/>
      <c r="Y886" s="113"/>
      <c r="Z886" s="113"/>
    </row>
    <row r="887">
      <c r="A887" s="113"/>
      <c r="B887" s="113"/>
      <c r="C887" s="113"/>
      <c r="D887" s="113"/>
      <c r="E887" s="113"/>
      <c r="F887" s="113"/>
      <c r="G887" s="113"/>
      <c r="H887" s="113"/>
      <c r="I887" s="113"/>
      <c r="J887" s="113"/>
      <c r="K887" s="113"/>
      <c r="L887" s="113"/>
      <c r="M887" s="113"/>
      <c r="N887" s="113"/>
      <c r="O887" s="113"/>
      <c r="P887" s="113"/>
      <c r="Q887" s="113"/>
      <c r="R887" s="113"/>
      <c r="S887" s="113"/>
      <c r="T887" s="113"/>
      <c r="U887" s="113"/>
      <c r="V887" s="113"/>
      <c r="W887" s="113"/>
      <c r="X887" s="113"/>
      <c r="Y887" s="113"/>
      <c r="Z887" s="113"/>
    </row>
    <row r="888">
      <c r="A888" s="113"/>
      <c r="B888" s="113"/>
      <c r="C888" s="113"/>
      <c r="D888" s="113"/>
      <c r="E888" s="113"/>
      <c r="F888" s="113"/>
      <c r="G888" s="113"/>
      <c r="H888" s="113"/>
      <c r="I888" s="113"/>
      <c r="J888" s="113"/>
      <c r="K888" s="113"/>
      <c r="L888" s="113"/>
      <c r="M888" s="113"/>
      <c r="N888" s="113"/>
      <c r="O888" s="113"/>
      <c r="P888" s="113"/>
      <c r="Q888" s="113"/>
      <c r="R888" s="113"/>
      <c r="S888" s="113"/>
      <c r="T888" s="113"/>
      <c r="U888" s="113"/>
      <c r="V888" s="113"/>
      <c r="W888" s="113"/>
      <c r="X888" s="113"/>
      <c r="Y888" s="113"/>
      <c r="Z888" s="113"/>
    </row>
    <row r="889">
      <c r="A889" s="113"/>
      <c r="B889" s="113"/>
      <c r="C889" s="113"/>
      <c r="D889" s="113"/>
      <c r="E889" s="113"/>
      <c r="F889" s="113"/>
      <c r="G889" s="113"/>
      <c r="H889" s="113"/>
      <c r="I889" s="113"/>
      <c r="J889" s="113"/>
      <c r="K889" s="113"/>
      <c r="L889" s="113"/>
      <c r="M889" s="113"/>
      <c r="N889" s="113"/>
      <c r="O889" s="113"/>
      <c r="P889" s="113"/>
      <c r="Q889" s="113"/>
      <c r="R889" s="113"/>
      <c r="S889" s="113"/>
      <c r="T889" s="113"/>
      <c r="U889" s="113"/>
      <c r="V889" s="113"/>
      <c r="W889" s="113"/>
      <c r="X889" s="113"/>
      <c r="Y889" s="113"/>
      <c r="Z889" s="113"/>
    </row>
    <row r="890">
      <c r="A890" s="113"/>
      <c r="B890" s="113"/>
      <c r="C890" s="113"/>
      <c r="D890" s="113"/>
      <c r="E890" s="113"/>
      <c r="F890" s="113"/>
      <c r="G890" s="113"/>
      <c r="H890" s="113"/>
      <c r="I890" s="113"/>
      <c r="J890" s="113"/>
      <c r="K890" s="113"/>
      <c r="L890" s="113"/>
      <c r="M890" s="113"/>
      <c r="N890" s="113"/>
      <c r="O890" s="113"/>
      <c r="P890" s="113"/>
      <c r="Q890" s="113"/>
      <c r="R890" s="113"/>
      <c r="S890" s="113"/>
      <c r="T890" s="113"/>
      <c r="U890" s="113"/>
      <c r="V890" s="113"/>
      <c r="W890" s="113"/>
      <c r="X890" s="113"/>
      <c r="Y890" s="113"/>
      <c r="Z890" s="113"/>
    </row>
    <row r="891">
      <c r="A891" s="113"/>
      <c r="B891" s="113"/>
      <c r="C891" s="113"/>
      <c r="D891" s="113"/>
      <c r="E891" s="113"/>
      <c r="F891" s="113"/>
      <c r="G891" s="113"/>
      <c r="H891" s="113"/>
      <c r="I891" s="113"/>
      <c r="J891" s="113"/>
      <c r="K891" s="113"/>
      <c r="L891" s="113"/>
      <c r="M891" s="113"/>
      <c r="N891" s="113"/>
      <c r="O891" s="113"/>
      <c r="P891" s="113"/>
      <c r="Q891" s="113"/>
      <c r="R891" s="113"/>
      <c r="S891" s="113"/>
      <c r="T891" s="113"/>
      <c r="U891" s="113"/>
      <c r="V891" s="113"/>
      <c r="W891" s="113"/>
      <c r="X891" s="113"/>
      <c r="Y891" s="113"/>
      <c r="Z891" s="113"/>
    </row>
    <row r="892">
      <c r="A892" s="113"/>
      <c r="B892" s="113"/>
      <c r="C892" s="113"/>
      <c r="D892" s="113"/>
      <c r="E892" s="113"/>
      <c r="F892" s="113"/>
      <c r="G892" s="113"/>
      <c r="H892" s="113"/>
      <c r="I892" s="113"/>
      <c r="J892" s="113"/>
      <c r="K892" s="113"/>
      <c r="L892" s="113"/>
      <c r="M892" s="113"/>
      <c r="N892" s="113"/>
      <c r="O892" s="113"/>
      <c r="P892" s="113"/>
      <c r="Q892" s="113"/>
      <c r="R892" s="113"/>
      <c r="S892" s="113"/>
      <c r="T892" s="113"/>
      <c r="U892" s="113"/>
      <c r="V892" s="113"/>
      <c r="W892" s="113"/>
      <c r="X892" s="113"/>
      <c r="Y892" s="113"/>
      <c r="Z892" s="113"/>
    </row>
    <row r="893">
      <c r="A893" s="113"/>
      <c r="B893" s="113"/>
      <c r="C893" s="113"/>
      <c r="D893" s="113"/>
      <c r="E893" s="113"/>
      <c r="F893" s="113"/>
      <c r="G893" s="113"/>
      <c r="H893" s="113"/>
      <c r="I893" s="113"/>
      <c r="J893" s="113"/>
      <c r="K893" s="113"/>
      <c r="L893" s="113"/>
      <c r="M893" s="113"/>
      <c r="N893" s="113"/>
      <c r="O893" s="113"/>
      <c r="P893" s="113"/>
      <c r="Q893" s="113"/>
      <c r="R893" s="113"/>
      <c r="S893" s="113"/>
      <c r="T893" s="113"/>
      <c r="U893" s="113"/>
      <c r="V893" s="113"/>
      <c r="W893" s="113"/>
      <c r="X893" s="113"/>
      <c r="Y893" s="113"/>
      <c r="Z893" s="113"/>
    </row>
    <row r="894">
      <c r="A894" s="113"/>
      <c r="B894" s="113"/>
      <c r="C894" s="113"/>
      <c r="D894" s="113"/>
      <c r="E894" s="113"/>
      <c r="F894" s="113"/>
      <c r="G894" s="113"/>
      <c r="H894" s="113"/>
      <c r="I894" s="113"/>
      <c r="J894" s="113"/>
      <c r="K894" s="113"/>
      <c r="L894" s="113"/>
      <c r="M894" s="113"/>
      <c r="N894" s="113"/>
      <c r="O894" s="113"/>
      <c r="P894" s="113"/>
      <c r="Q894" s="113"/>
      <c r="R894" s="113"/>
      <c r="S894" s="113"/>
      <c r="T894" s="113"/>
      <c r="U894" s="113"/>
      <c r="V894" s="113"/>
      <c r="W894" s="113"/>
      <c r="X894" s="113"/>
      <c r="Y894" s="113"/>
      <c r="Z894" s="113"/>
    </row>
    <row r="895">
      <c r="A895" s="113"/>
      <c r="B895" s="113"/>
      <c r="C895" s="113"/>
      <c r="D895" s="113"/>
      <c r="E895" s="113"/>
      <c r="F895" s="113"/>
      <c r="G895" s="113"/>
      <c r="H895" s="113"/>
      <c r="I895" s="113"/>
      <c r="J895" s="113"/>
      <c r="K895" s="113"/>
      <c r="L895" s="113"/>
      <c r="M895" s="113"/>
      <c r="N895" s="113"/>
      <c r="O895" s="113"/>
      <c r="P895" s="113"/>
      <c r="Q895" s="113"/>
      <c r="R895" s="113"/>
      <c r="S895" s="113"/>
      <c r="T895" s="113"/>
      <c r="U895" s="113"/>
      <c r="V895" s="113"/>
      <c r="W895" s="113"/>
      <c r="X895" s="113"/>
      <c r="Y895" s="113"/>
      <c r="Z895" s="113"/>
    </row>
    <row r="896">
      <c r="A896" s="113"/>
      <c r="B896" s="113"/>
      <c r="C896" s="113"/>
      <c r="D896" s="113"/>
      <c r="E896" s="113"/>
      <c r="F896" s="113"/>
      <c r="G896" s="113"/>
      <c r="H896" s="113"/>
      <c r="I896" s="113"/>
      <c r="J896" s="113"/>
      <c r="K896" s="113"/>
      <c r="L896" s="113"/>
      <c r="M896" s="113"/>
      <c r="N896" s="113"/>
      <c r="O896" s="113"/>
      <c r="P896" s="113"/>
      <c r="Q896" s="113"/>
      <c r="R896" s="113"/>
      <c r="S896" s="113"/>
      <c r="T896" s="113"/>
      <c r="U896" s="113"/>
      <c r="V896" s="113"/>
      <c r="W896" s="113"/>
      <c r="X896" s="113"/>
      <c r="Y896" s="113"/>
      <c r="Z896" s="113"/>
    </row>
    <row r="897">
      <c r="A897" s="113"/>
      <c r="B897" s="113"/>
      <c r="C897" s="113"/>
      <c r="D897" s="113"/>
      <c r="E897" s="113"/>
      <c r="F897" s="113"/>
      <c r="G897" s="113"/>
      <c r="H897" s="113"/>
      <c r="I897" s="113"/>
      <c r="J897" s="113"/>
      <c r="K897" s="113"/>
      <c r="L897" s="113"/>
      <c r="M897" s="113"/>
      <c r="N897" s="113"/>
      <c r="O897" s="113"/>
      <c r="P897" s="113"/>
      <c r="Q897" s="113"/>
      <c r="R897" s="113"/>
      <c r="S897" s="113"/>
      <c r="T897" s="113"/>
      <c r="U897" s="113"/>
      <c r="V897" s="113"/>
      <c r="W897" s="113"/>
      <c r="X897" s="113"/>
      <c r="Y897" s="113"/>
      <c r="Z897" s="113"/>
    </row>
    <row r="898">
      <c r="A898" s="113"/>
      <c r="B898" s="113"/>
      <c r="C898" s="113"/>
      <c r="D898" s="113"/>
      <c r="E898" s="113"/>
      <c r="F898" s="113"/>
      <c r="G898" s="113"/>
      <c r="H898" s="113"/>
      <c r="I898" s="113"/>
      <c r="J898" s="113"/>
      <c r="K898" s="113"/>
      <c r="L898" s="113"/>
      <c r="M898" s="113"/>
      <c r="N898" s="113"/>
      <c r="O898" s="113"/>
      <c r="P898" s="113"/>
      <c r="Q898" s="113"/>
      <c r="R898" s="113"/>
      <c r="S898" s="113"/>
      <c r="T898" s="113"/>
      <c r="U898" s="113"/>
      <c r="V898" s="113"/>
      <c r="W898" s="113"/>
      <c r="X898" s="113"/>
      <c r="Y898" s="113"/>
      <c r="Z898" s="113"/>
    </row>
    <row r="899">
      <c r="A899" s="113"/>
      <c r="B899" s="113"/>
      <c r="C899" s="113"/>
      <c r="D899" s="113"/>
      <c r="E899" s="113"/>
      <c r="F899" s="113"/>
      <c r="G899" s="113"/>
      <c r="H899" s="113"/>
      <c r="I899" s="113"/>
      <c r="J899" s="113"/>
      <c r="K899" s="113"/>
      <c r="L899" s="113"/>
      <c r="M899" s="113"/>
      <c r="N899" s="113"/>
      <c r="O899" s="113"/>
      <c r="P899" s="113"/>
      <c r="Q899" s="113"/>
      <c r="R899" s="113"/>
      <c r="S899" s="113"/>
      <c r="T899" s="113"/>
      <c r="U899" s="113"/>
      <c r="V899" s="113"/>
      <c r="W899" s="113"/>
      <c r="X899" s="113"/>
      <c r="Y899" s="113"/>
      <c r="Z899" s="113"/>
    </row>
    <row r="900">
      <c r="A900" s="113"/>
      <c r="B900" s="113"/>
      <c r="C900" s="113"/>
      <c r="D900" s="113"/>
      <c r="E900" s="113"/>
      <c r="F900" s="113"/>
      <c r="G900" s="113"/>
      <c r="H900" s="113"/>
      <c r="I900" s="113"/>
      <c r="J900" s="113"/>
      <c r="K900" s="113"/>
      <c r="L900" s="113"/>
      <c r="M900" s="113"/>
      <c r="N900" s="113"/>
      <c r="O900" s="113"/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3"/>
    </row>
    <row r="901">
      <c r="A901" s="113"/>
      <c r="B901" s="113"/>
      <c r="C901" s="113"/>
      <c r="D901" s="113"/>
      <c r="E901" s="113"/>
      <c r="F901" s="113"/>
      <c r="G901" s="113"/>
      <c r="H901" s="113"/>
      <c r="I901" s="113"/>
      <c r="J901" s="113"/>
      <c r="K901" s="113"/>
      <c r="L901" s="113"/>
      <c r="M901" s="113"/>
      <c r="N901" s="113"/>
      <c r="O901" s="113"/>
      <c r="P901" s="113"/>
      <c r="Q901" s="113"/>
      <c r="R901" s="113"/>
      <c r="S901" s="113"/>
      <c r="T901" s="113"/>
      <c r="U901" s="113"/>
      <c r="V901" s="113"/>
      <c r="W901" s="113"/>
      <c r="X901" s="113"/>
      <c r="Y901" s="113"/>
      <c r="Z901" s="113"/>
    </row>
    <row r="902">
      <c r="A902" s="113"/>
      <c r="B902" s="113"/>
      <c r="C902" s="113"/>
      <c r="D902" s="113"/>
      <c r="E902" s="113"/>
      <c r="F902" s="113"/>
      <c r="G902" s="113"/>
      <c r="H902" s="113"/>
      <c r="I902" s="113"/>
      <c r="J902" s="113"/>
      <c r="K902" s="113"/>
      <c r="L902" s="113"/>
      <c r="M902" s="113"/>
      <c r="N902" s="113"/>
      <c r="O902" s="113"/>
      <c r="P902" s="113"/>
      <c r="Q902" s="113"/>
      <c r="R902" s="113"/>
      <c r="S902" s="113"/>
      <c r="T902" s="113"/>
      <c r="U902" s="113"/>
      <c r="V902" s="113"/>
      <c r="W902" s="113"/>
      <c r="X902" s="113"/>
      <c r="Y902" s="113"/>
      <c r="Z902" s="113"/>
    </row>
    <row r="903">
      <c r="A903" s="113"/>
      <c r="B903" s="113"/>
      <c r="C903" s="113"/>
      <c r="D903" s="113"/>
      <c r="E903" s="113"/>
      <c r="F903" s="113"/>
      <c r="G903" s="113"/>
      <c r="H903" s="113"/>
      <c r="I903" s="113"/>
      <c r="J903" s="113"/>
      <c r="K903" s="113"/>
      <c r="L903" s="113"/>
      <c r="M903" s="113"/>
      <c r="N903" s="113"/>
      <c r="O903" s="113"/>
      <c r="P903" s="113"/>
      <c r="Q903" s="113"/>
      <c r="R903" s="113"/>
      <c r="S903" s="113"/>
      <c r="T903" s="113"/>
      <c r="U903" s="113"/>
      <c r="V903" s="113"/>
      <c r="W903" s="113"/>
      <c r="X903" s="113"/>
      <c r="Y903" s="113"/>
      <c r="Z903" s="113"/>
    </row>
    <row r="904">
      <c r="A904" s="113"/>
      <c r="B904" s="113"/>
      <c r="C904" s="113"/>
      <c r="D904" s="113"/>
      <c r="E904" s="113"/>
      <c r="F904" s="113"/>
      <c r="G904" s="113"/>
      <c r="H904" s="113"/>
      <c r="I904" s="113"/>
      <c r="J904" s="113"/>
      <c r="K904" s="113"/>
      <c r="L904" s="113"/>
      <c r="M904" s="113"/>
      <c r="N904" s="113"/>
      <c r="O904" s="113"/>
      <c r="P904" s="113"/>
      <c r="Q904" s="113"/>
      <c r="R904" s="113"/>
      <c r="S904" s="113"/>
      <c r="T904" s="113"/>
      <c r="U904" s="113"/>
      <c r="V904" s="113"/>
      <c r="W904" s="113"/>
      <c r="X904" s="113"/>
      <c r="Y904" s="113"/>
      <c r="Z904" s="113"/>
    </row>
    <row r="905">
      <c r="A905" s="113"/>
      <c r="B905" s="113"/>
      <c r="C905" s="113"/>
      <c r="D905" s="113"/>
      <c r="E905" s="113"/>
      <c r="F905" s="113"/>
      <c r="G905" s="113"/>
      <c r="H905" s="113"/>
      <c r="I905" s="113"/>
      <c r="J905" s="113"/>
      <c r="K905" s="113"/>
      <c r="L905" s="113"/>
      <c r="M905" s="113"/>
      <c r="N905" s="113"/>
      <c r="O905" s="113"/>
      <c r="P905" s="113"/>
      <c r="Q905" s="113"/>
      <c r="R905" s="113"/>
      <c r="S905" s="113"/>
      <c r="T905" s="113"/>
      <c r="U905" s="113"/>
      <c r="V905" s="113"/>
      <c r="W905" s="113"/>
      <c r="X905" s="113"/>
      <c r="Y905" s="113"/>
      <c r="Z905" s="113"/>
    </row>
    <row r="906">
      <c r="A906" s="113"/>
      <c r="B906" s="113"/>
      <c r="C906" s="113"/>
      <c r="D906" s="113"/>
      <c r="E906" s="113"/>
      <c r="F906" s="113"/>
      <c r="G906" s="113"/>
      <c r="H906" s="113"/>
      <c r="I906" s="113"/>
      <c r="J906" s="113"/>
      <c r="K906" s="113"/>
      <c r="L906" s="113"/>
      <c r="M906" s="113"/>
      <c r="N906" s="113"/>
      <c r="O906" s="113"/>
      <c r="P906" s="113"/>
      <c r="Q906" s="113"/>
      <c r="R906" s="113"/>
      <c r="S906" s="113"/>
      <c r="T906" s="113"/>
      <c r="U906" s="113"/>
      <c r="V906" s="113"/>
      <c r="W906" s="113"/>
      <c r="X906" s="113"/>
      <c r="Y906" s="113"/>
      <c r="Z906" s="113"/>
    </row>
    <row r="907">
      <c r="A907" s="113"/>
      <c r="B907" s="113"/>
      <c r="C907" s="113"/>
      <c r="D907" s="113"/>
      <c r="E907" s="113"/>
      <c r="F907" s="113"/>
      <c r="G907" s="113"/>
      <c r="H907" s="113"/>
      <c r="I907" s="113"/>
      <c r="J907" s="113"/>
      <c r="K907" s="113"/>
      <c r="L907" s="113"/>
      <c r="M907" s="113"/>
      <c r="N907" s="113"/>
      <c r="O907" s="113"/>
      <c r="P907" s="113"/>
      <c r="Q907" s="113"/>
      <c r="R907" s="113"/>
      <c r="S907" s="113"/>
      <c r="T907" s="113"/>
      <c r="U907" s="113"/>
      <c r="V907" s="113"/>
      <c r="W907" s="113"/>
      <c r="X907" s="113"/>
      <c r="Y907" s="113"/>
      <c r="Z907" s="113"/>
    </row>
    <row r="908">
      <c r="A908" s="113"/>
      <c r="B908" s="113"/>
      <c r="C908" s="113"/>
      <c r="D908" s="113"/>
      <c r="E908" s="113"/>
      <c r="F908" s="113"/>
      <c r="G908" s="113"/>
      <c r="H908" s="113"/>
      <c r="I908" s="113"/>
      <c r="J908" s="113"/>
      <c r="K908" s="113"/>
      <c r="L908" s="113"/>
      <c r="M908" s="113"/>
      <c r="N908" s="113"/>
      <c r="O908" s="113"/>
      <c r="P908" s="113"/>
      <c r="Q908" s="113"/>
      <c r="R908" s="113"/>
      <c r="S908" s="113"/>
      <c r="T908" s="113"/>
      <c r="U908" s="113"/>
      <c r="V908" s="113"/>
      <c r="W908" s="113"/>
      <c r="X908" s="113"/>
      <c r="Y908" s="113"/>
      <c r="Z908" s="113"/>
    </row>
    <row r="909">
      <c r="A909" s="113"/>
      <c r="B909" s="113"/>
      <c r="C909" s="113"/>
      <c r="D909" s="113"/>
      <c r="E909" s="113"/>
      <c r="F909" s="113"/>
      <c r="G909" s="113"/>
      <c r="H909" s="113"/>
      <c r="I909" s="113"/>
      <c r="J909" s="113"/>
      <c r="K909" s="113"/>
      <c r="L909" s="113"/>
      <c r="M909" s="113"/>
      <c r="N909" s="113"/>
      <c r="O909" s="113"/>
      <c r="P909" s="113"/>
      <c r="Q909" s="113"/>
      <c r="R909" s="113"/>
      <c r="S909" s="113"/>
      <c r="T909" s="113"/>
      <c r="U909" s="113"/>
      <c r="V909" s="113"/>
      <c r="W909" s="113"/>
      <c r="X909" s="113"/>
      <c r="Y909" s="113"/>
      <c r="Z909" s="113"/>
    </row>
    <row r="910">
      <c r="A910" s="113"/>
      <c r="B910" s="113"/>
      <c r="C910" s="113"/>
      <c r="D910" s="113"/>
      <c r="E910" s="113"/>
      <c r="F910" s="113"/>
      <c r="G910" s="113"/>
      <c r="H910" s="113"/>
      <c r="I910" s="113"/>
      <c r="J910" s="113"/>
      <c r="K910" s="113"/>
      <c r="L910" s="113"/>
      <c r="M910" s="113"/>
      <c r="N910" s="113"/>
      <c r="O910" s="113"/>
      <c r="P910" s="113"/>
      <c r="Q910" s="113"/>
      <c r="R910" s="113"/>
      <c r="S910" s="113"/>
      <c r="T910" s="113"/>
      <c r="U910" s="113"/>
      <c r="V910" s="113"/>
      <c r="W910" s="113"/>
      <c r="X910" s="113"/>
      <c r="Y910" s="113"/>
      <c r="Z910" s="113"/>
    </row>
    <row r="911">
      <c r="A911" s="113"/>
      <c r="B911" s="113"/>
      <c r="C911" s="113"/>
      <c r="D911" s="113"/>
      <c r="E911" s="113"/>
      <c r="F911" s="113"/>
      <c r="G911" s="113"/>
      <c r="H911" s="113"/>
      <c r="I911" s="113"/>
      <c r="J911" s="113"/>
      <c r="K911" s="113"/>
      <c r="L911" s="113"/>
      <c r="M911" s="113"/>
      <c r="N911" s="113"/>
      <c r="O911" s="113"/>
      <c r="P911" s="113"/>
      <c r="Q911" s="113"/>
      <c r="R911" s="113"/>
      <c r="S911" s="113"/>
      <c r="T911" s="113"/>
      <c r="U911" s="113"/>
      <c r="V911" s="113"/>
      <c r="W911" s="113"/>
      <c r="X911" s="113"/>
      <c r="Y911" s="113"/>
      <c r="Z911" s="113"/>
    </row>
    <row r="912">
      <c r="A912" s="113"/>
      <c r="B912" s="113"/>
      <c r="C912" s="113"/>
      <c r="D912" s="113"/>
      <c r="E912" s="113"/>
      <c r="F912" s="113"/>
      <c r="G912" s="113"/>
      <c r="H912" s="113"/>
      <c r="I912" s="113"/>
      <c r="J912" s="113"/>
      <c r="K912" s="113"/>
      <c r="L912" s="113"/>
      <c r="M912" s="113"/>
      <c r="N912" s="113"/>
      <c r="O912" s="113"/>
      <c r="P912" s="113"/>
      <c r="Q912" s="113"/>
      <c r="R912" s="113"/>
      <c r="S912" s="113"/>
      <c r="T912" s="113"/>
      <c r="U912" s="113"/>
      <c r="V912" s="113"/>
      <c r="W912" s="113"/>
      <c r="X912" s="113"/>
      <c r="Y912" s="113"/>
      <c r="Z912" s="113"/>
    </row>
    <row r="913">
      <c r="A913" s="113"/>
      <c r="B913" s="113"/>
      <c r="C913" s="113"/>
      <c r="D913" s="113"/>
      <c r="E913" s="113"/>
      <c r="F913" s="113"/>
      <c r="G913" s="113"/>
      <c r="H913" s="113"/>
      <c r="I913" s="113"/>
      <c r="J913" s="113"/>
      <c r="K913" s="113"/>
      <c r="L913" s="113"/>
      <c r="M913" s="113"/>
      <c r="N913" s="113"/>
      <c r="O913" s="113"/>
      <c r="P913" s="113"/>
      <c r="Q913" s="113"/>
      <c r="R913" s="113"/>
      <c r="S913" s="113"/>
      <c r="T913" s="113"/>
      <c r="U913" s="113"/>
      <c r="V913" s="113"/>
      <c r="W913" s="113"/>
      <c r="X913" s="113"/>
      <c r="Y913" s="113"/>
      <c r="Z913" s="113"/>
    </row>
    <row r="914">
      <c r="A914" s="113"/>
      <c r="B914" s="113"/>
      <c r="C914" s="113"/>
      <c r="D914" s="113"/>
      <c r="E914" s="113"/>
      <c r="F914" s="113"/>
      <c r="G914" s="113"/>
      <c r="H914" s="113"/>
      <c r="I914" s="113"/>
      <c r="J914" s="113"/>
      <c r="K914" s="113"/>
      <c r="L914" s="113"/>
      <c r="M914" s="113"/>
      <c r="N914" s="113"/>
      <c r="O914" s="113"/>
      <c r="P914" s="113"/>
      <c r="Q914" s="113"/>
      <c r="R914" s="113"/>
      <c r="S914" s="113"/>
      <c r="T914" s="113"/>
      <c r="U914" s="113"/>
      <c r="V914" s="113"/>
      <c r="W914" s="113"/>
      <c r="X914" s="113"/>
      <c r="Y914" s="113"/>
      <c r="Z914" s="113"/>
    </row>
    <row r="915">
      <c r="A915" s="113"/>
      <c r="B915" s="113"/>
      <c r="C915" s="113"/>
      <c r="D915" s="113"/>
      <c r="E915" s="113"/>
      <c r="F915" s="113"/>
      <c r="G915" s="113"/>
      <c r="H915" s="113"/>
      <c r="I915" s="113"/>
      <c r="J915" s="113"/>
      <c r="K915" s="113"/>
      <c r="L915" s="113"/>
      <c r="M915" s="113"/>
      <c r="N915" s="113"/>
      <c r="O915" s="113"/>
      <c r="P915" s="113"/>
      <c r="Q915" s="113"/>
      <c r="R915" s="113"/>
      <c r="S915" s="113"/>
      <c r="T915" s="113"/>
      <c r="U915" s="113"/>
      <c r="V915" s="113"/>
      <c r="W915" s="113"/>
      <c r="X915" s="113"/>
      <c r="Y915" s="113"/>
      <c r="Z915" s="113"/>
    </row>
    <row r="916">
      <c r="A916" s="113"/>
      <c r="B916" s="113"/>
      <c r="C916" s="113"/>
      <c r="D916" s="113"/>
      <c r="E916" s="113"/>
      <c r="F916" s="113"/>
      <c r="G916" s="113"/>
      <c r="H916" s="113"/>
      <c r="I916" s="113"/>
      <c r="J916" s="113"/>
      <c r="K916" s="113"/>
      <c r="L916" s="113"/>
      <c r="M916" s="113"/>
      <c r="N916" s="113"/>
      <c r="O916" s="113"/>
      <c r="P916" s="113"/>
      <c r="Q916" s="113"/>
      <c r="R916" s="113"/>
      <c r="S916" s="113"/>
      <c r="T916" s="113"/>
      <c r="U916" s="113"/>
      <c r="V916" s="113"/>
      <c r="W916" s="113"/>
      <c r="X916" s="113"/>
      <c r="Y916" s="113"/>
      <c r="Z916" s="113"/>
    </row>
    <row r="917">
      <c r="A917" s="113"/>
      <c r="B917" s="113"/>
      <c r="C917" s="113"/>
      <c r="D917" s="113"/>
      <c r="E917" s="113"/>
      <c r="F917" s="113"/>
      <c r="G917" s="113"/>
      <c r="H917" s="113"/>
      <c r="I917" s="113"/>
      <c r="J917" s="113"/>
      <c r="K917" s="113"/>
      <c r="L917" s="113"/>
      <c r="M917" s="113"/>
      <c r="N917" s="113"/>
      <c r="O917" s="113"/>
      <c r="P917" s="113"/>
      <c r="Q917" s="113"/>
      <c r="R917" s="113"/>
      <c r="S917" s="113"/>
      <c r="T917" s="113"/>
      <c r="U917" s="113"/>
      <c r="V917" s="113"/>
      <c r="W917" s="113"/>
      <c r="X917" s="113"/>
      <c r="Y917" s="113"/>
      <c r="Z917" s="113"/>
    </row>
    <row r="918">
      <c r="A918" s="113"/>
      <c r="B918" s="113"/>
      <c r="C918" s="113"/>
      <c r="D918" s="113"/>
      <c r="E918" s="113"/>
      <c r="F918" s="113"/>
      <c r="G918" s="113"/>
      <c r="H918" s="113"/>
      <c r="I918" s="113"/>
      <c r="J918" s="113"/>
      <c r="K918" s="113"/>
      <c r="L918" s="113"/>
      <c r="M918" s="113"/>
      <c r="N918" s="113"/>
      <c r="O918" s="113"/>
      <c r="P918" s="113"/>
      <c r="Q918" s="113"/>
      <c r="R918" s="113"/>
      <c r="S918" s="113"/>
      <c r="T918" s="113"/>
      <c r="U918" s="113"/>
      <c r="V918" s="113"/>
      <c r="W918" s="113"/>
      <c r="X918" s="113"/>
      <c r="Y918" s="113"/>
      <c r="Z918" s="113"/>
    </row>
    <row r="919">
      <c r="A919" s="113"/>
      <c r="B919" s="113"/>
      <c r="C919" s="113"/>
      <c r="D919" s="113"/>
      <c r="E919" s="113"/>
      <c r="F919" s="113"/>
      <c r="G919" s="113"/>
      <c r="H919" s="113"/>
      <c r="I919" s="113"/>
      <c r="J919" s="113"/>
      <c r="K919" s="113"/>
      <c r="L919" s="113"/>
      <c r="M919" s="113"/>
      <c r="N919" s="113"/>
      <c r="O919" s="113"/>
      <c r="P919" s="113"/>
      <c r="Q919" s="113"/>
      <c r="R919" s="113"/>
      <c r="S919" s="113"/>
      <c r="T919" s="113"/>
      <c r="U919" s="113"/>
      <c r="V919" s="113"/>
      <c r="W919" s="113"/>
      <c r="X919" s="113"/>
      <c r="Y919" s="113"/>
      <c r="Z919" s="113"/>
    </row>
    <row r="920">
      <c r="A920" s="113"/>
      <c r="B920" s="113"/>
      <c r="C920" s="113"/>
      <c r="D920" s="113"/>
      <c r="E920" s="113"/>
      <c r="F920" s="113"/>
      <c r="G920" s="113"/>
      <c r="H920" s="113"/>
      <c r="I920" s="113"/>
      <c r="J920" s="113"/>
      <c r="K920" s="113"/>
      <c r="L920" s="113"/>
      <c r="M920" s="113"/>
      <c r="N920" s="113"/>
      <c r="O920" s="113"/>
      <c r="P920" s="113"/>
      <c r="Q920" s="113"/>
      <c r="R920" s="113"/>
      <c r="S920" s="113"/>
      <c r="T920" s="113"/>
      <c r="U920" s="113"/>
      <c r="V920" s="113"/>
      <c r="W920" s="113"/>
      <c r="X920" s="113"/>
      <c r="Y920" s="113"/>
      <c r="Z920" s="113"/>
    </row>
    <row r="921">
      <c r="A921" s="113"/>
      <c r="B921" s="113"/>
      <c r="C921" s="113"/>
      <c r="D921" s="113"/>
      <c r="E921" s="113"/>
      <c r="F921" s="113"/>
      <c r="G921" s="113"/>
      <c r="H921" s="113"/>
      <c r="I921" s="113"/>
      <c r="J921" s="113"/>
      <c r="K921" s="113"/>
      <c r="L921" s="113"/>
      <c r="M921" s="113"/>
      <c r="N921" s="113"/>
      <c r="O921" s="113"/>
      <c r="P921" s="113"/>
      <c r="Q921" s="113"/>
      <c r="R921" s="113"/>
      <c r="S921" s="113"/>
      <c r="T921" s="113"/>
      <c r="U921" s="113"/>
      <c r="V921" s="113"/>
      <c r="W921" s="113"/>
      <c r="X921" s="113"/>
      <c r="Y921" s="113"/>
      <c r="Z921" s="113"/>
    </row>
    <row r="922">
      <c r="A922" s="113"/>
      <c r="B922" s="113"/>
      <c r="C922" s="113"/>
      <c r="D922" s="113"/>
      <c r="E922" s="113"/>
      <c r="F922" s="113"/>
      <c r="G922" s="113"/>
      <c r="H922" s="113"/>
      <c r="I922" s="113"/>
      <c r="J922" s="113"/>
      <c r="K922" s="113"/>
      <c r="L922" s="113"/>
      <c r="M922" s="113"/>
      <c r="N922" s="113"/>
      <c r="O922" s="113"/>
      <c r="P922" s="113"/>
      <c r="Q922" s="113"/>
      <c r="R922" s="113"/>
      <c r="S922" s="113"/>
      <c r="T922" s="113"/>
      <c r="U922" s="113"/>
      <c r="V922" s="113"/>
      <c r="W922" s="113"/>
      <c r="X922" s="113"/>
      <c r="Y922" s="113"/>
      <c r="Z922" s="113"/>
    </row>
    <row r="923">
      <c r="A923" s="113"/>
      <c r="B923" s="113"/>
      <c r="C923" s="113"/>
      <c r="D923" s="113"/>
      <c r="E923" s="113"/>
      <c r="F923" s="113"/>
      <c r="G923" s="113"/>
      <c r="H923" s="113"/>
      <c r="I923" s="113"/>
      <c r="J923" s="113"/>
      <c r="K923" s="113"/>
      <c r="L923" s="113"/>
      <c r="M923" s="113"/>
      <c r="N923" s="113"/>
      <c r="O923" s="113"/>
      <c r="P923" s="113"/>
      <c r="Q923" s="113"/>
      <c r="R923" s="113"/>
      <c r="S923" s="113"/>
      <c r="T923" s="113"/>
      <c r="U923" s="113"/>
      <c r="V923" s="113"/>
      <c r="W923" s="113"/>
      <c r="X923" s="113"/>
      <c r="Y923" s="113"/>
      <c r="Z923" s="113"/>
    </row>
    <row r="924">
      <c r="A924" s="113"/>
      <c r="B924" s="113"/>
      <c r="C924" s="113"/>
      <c r="D924" s="113"/>
      <c r="E924" s="113"/>
      <c r="F924" s="113"/>
      <c r="G924" s="113"/>
      <c r="H924" s="113"/>
      <c r="I924" s="113"/>
      <c r="J924" s="113"/>
      <c r="K924" s="113"/>
      <c r="L924" s="113"/>
      <c r="M924" s="113"/>
      <c r="N924" s="113"/>
      <c r="O924" s="113"/>
      <c r="P924" s="113"/>
      <c r="Q924" s="113"/>
      <c r="R924" s="113"/>
      <c r="S924" s="113"/>
      <c r="T924" s="113"/>
      <c r="U924" s="113"/>
      <c r="V924" s="113"/>
      <c r="W924" s="113"/>
      <c r="X924" s="113"/>
      <c r="Y924" s="113"/>
      <c r="Z924" s="113"/>
    </row>
    <row r="925">
      <c r="A925" s="113"/>
      <c r="B925" s="113"/>
      <c r="C925" s="113"/>
      <c r="D925" s="113"/>
      <c r="E925" s="113"/>
      <c r="F925" s="113"/>
      <c r="G925" s="113"/>
      <c r="H925" s="113"/>
      <c r="I925" s="113"/>
      <c r="J925" s="113"/>
      <c r="K925" s="113"/>
      <c r="L925" s="113"/>
      <c r="M925" s="113"/>
      <c r="N925" s="113"/>
      <c r="O925" s="113"/>
      <c r="P925" s="113"/>
      <c r="Q925" s="113"/>
      <c r="R925" s="113"/>
      <c r="S925" s="113"/>
      <c r="T925" s="113"/>
      <c r="U925" s="113"/>
      <c r="V925" s="113"/>
      <c r="W925" s="113"/>
      <c r="X925" s="113"/>
      <c r="Y925" s="113"/>
      <c r="Z925" s="113"/>
    </row>
    <row r="926">
      <c r="A926" s="113"/>
      <c r="B926" s="113"/>
      <c r="C926" s="113"/>
      <c r="D926" s="113"/>
      <c r="E926" s="113"/>
      <c r="F926" s="113"/>
      <c r="G926" s="113"/>
      <c r="H926" s="113"/>
      <c r="I926" s="113"/>
      <c r="J926" s="113"/>
      <c r="K926" s="113"/>
      <c r="L926" s="113"/>
      <c r="M926" s="113"/>
      <c r="N926" s="113"/>
      <c r="O926" s="113"/>
      <c r="P926" s="113"/>
      <c r="Q926" s="113"/>
      <c r="R926" s="113"/>
      <c r="S926" s="113"/>
      <c r="T926" s="113"/>
      <c r="U926" s="113"/>
      <c r="V926" s="113"/>
      <c r="W926" s="113"/>
      <c r="X926" s="113"/>
      <c r="Y926" s="113"/>
      <c r="Z926" s="113"/>
    </row>
    <row r="927">
      <c r="A927" s="113"/>
      <c r="B927" s="113"/>
      <c r="C927" s="113"/>
      <c r="D927" s="113"/>
      <c r="E927" s="113"/>
      <c r="F927" s="113"/>
      <c r="G927" s="113"/>
      <c r="H927" s="113"/>
      <c r="I927" s="113"/>
      <c r="J927" s="113"/>
      <c r="K927" s="113"/>
      <c r="L927" s="113"/>
      <c r="M927" s="113"/>
      <c r="N927" s="113"/>
      <c r="O927" s="113"/>
      <c r="P927" s="113"/>
      <c r="Q927" s="113"/>
      <c r="R927" s="113"/>
      <c r="S927" s="113"/>
      <c r="T927" s="113"/>
      <c r="U927" s="113"/>
      <c r="V927" s="113"/>
      <c r="W927" s="113"/>
      <c r="X927" s="113"/>
      <c r="Y927" s="113"/>
      <c r="Z927" s="113"/>
    </row>
    <row r="928">
      <c r="A928" s="113"/>
      <c r="B928" s="113"/>
      <c r="C928" s="113"/>
      <c r="D928" s="113"/>
      <c r="E928" s="113"/>
      <c r="F928" s="113"/>
      <c r="G928" s="113"/>
      <c r="H928" s="113"/>
      <c r="I928" s="113"/>
      <c r="J928" s="113"/>
      <c r="K928" s="113"/>
      <c r="L928" s="113"/>
      <c r="M928" s="113"/>
      <c r="N928" s="113"/>
      <c r="O928" s="113"/>
      <c r="P928" s="113"/>
      <c r="Q928" s="113"/>
      <c r="R928" s="113"/>
      <c r="S928" s="113"/>
      <c r="T928" s="113"/>
      <c r="U928" s="113"/>
      <c r="V928" s="113"/>
      <c r="W928" s="113"/>
      <c r="X928" s="113"/>
      <c r="Y928" s="113"/>
      <c r="Z928" s="113"/>
    </row>
    <row r="929">
      <c r="A929" s="113"/>
      <c r="B929" s="113"/>
      <c r="C929" s="113"/>
      <c r="D929" s="113"/>
      <c r="E929" s="113"/>
      <c r="F929" s="113"/>
      <c r="G929" s="113"/>
      <c r="H929" s="113"/>
      <c r="I929" s="113"/>
      <c r="J929" s="113"/>
      <c r="K929" s="113"/>
      <c r="L929" s="113"/>
      <c r="M929" s="113"/>
      <c r="N929" s="113"/>
      <c r="O929" s="113"/>
      <c r="P929" s="113"/>
      <c r="Q929" s="113"/>
      <c r="R929" s="113"/>
      <c r="S929" s="113"/>
      <c r="T929" s="113"/>
      <c r="U929" s="113"/>
      <c r="V929" s="113"/>
      <c r="W929" s="113"/>
      <c r="X929" s="113"/>
      <c r="Y929" s="113"/>
      <c r="Z929" s="113"/>
    </row>
    <row r="930">
      <c r="A930" s="113"/>
      <c r="B930" s="113"/>
      <c r="C930" s="113"/>
      <c r="D930" s="113"/>
      <c r="E930" s="113"/>
      <c r="F930" s="113"/>
      <c r="G930" s="113"/>
      <c r="H930" s="113"/>
      <c r="I930" s="113"/>
      <c r="J930" s="113"/>
      <c r="K930" s="113"/>
      <c r="L930" s="113"/>
      <c r="M930" s="113"/>
      <c r="N930" s="113"/>
      <c r="O930" s="113"/>
      <c r="P930" s="113"/>
      <c r="Q930" s="113"/>
      <c r="R930" s="113"/>
      <c r="S930" s="113"/>
      <c r="T930" s="113"/>
      <c r="U930" s="113"/>
      <c r="V930" s="113"/>
      <c r="W930" s="113"/>
      <c r="X930" s="113"/>
      <c r="Y930" s="113"/>
      <c r="Z930" s="113"/>
    </row>
    <row r="931">
      <c r="A931" s="113"/>
      <c r="B931" s="113"/>
      <c r="C931" s="113"/>
      <c r="D931" s="113"/>
      <c r="E931" s="113"/>
      <c r="F931" s="113"/>
      <c r="G931" s="113"/>
      <c r="H931" s="113"/>
      <c r="I931" s="113"/>
      <c r="J931" s="113"/>
      <c r="K931" s="113"/>
      <c r="L931" s="113"/>
      <c r="M931" s="113"/>
      <c r="N931" s="113"/>
      <c r="O931" s="113"/>
      <c r="P931" s="113"/>
      <c r="Q931" s="113"/>
      <c r="R931" s="113"/>
      <c r="S931" s="113"/>
      <c r="T931" s="113"/>
      <c r="U931" s="113"/>
      <c r="V931" s="113"/>
      <c r="W931" s="113"/>
      <c r="X931" s="113"/>
      <c r="Y931" s="113"/>
      <c r="Z931" s="113"/>
    </row>
    <row r="932">
      <c r="A932" s="113"/>
      <c r="B932" s="113"/>
      <c r="C932" s="113"/>
      <c r="D932" s="113"/>
      <c r="E932" s="113"/>
      <c r="F932" s="113"/>
      <c r="G932" s="113"/>
      <c r="H932" s="113"/>
      <c r="I932" s="113"/>
      <c r="J932" s="113"/>
      <c r="K932" s="113"/>
      <c r="L932" s="113"/>
      <c r="M932" s="113"/>
      <c r="N932" s="113"/>
      <c r="O932" s="113"/>
      <c r="P932" s="113"/>
      <c r="Q932" s="113"/>
      <c r="R932" s="113"/>
      <c r="S932" s="113"/>
      <c r="T932" s="113"/>
      <c r="U932" s="113"/>
      <c r="V932" s="113"/>
      <c r="W932" s="113"/>
      <c r="X932" s="113"/>
      <c r="Y932" s="113"/>
      <c r="Z932" s="113"/>
    </row>
    <row r="933">
      <c r="A933" s="113"/>
      <c r="B933" s="113"/>
      <c r="C933" s="113"/>
      <c r="D933" s="113"/>
      <c r="E933" s="113"/>
      <c r="F933" s="113"/>
      <c r="G933" s="113"/>
      <c r="H933" s="113"/>
      <c r="I933" s="113"/>
      <c r="J933" s="113"/>
      <c r="K933" s="113"/>
      <c r="L933" s="113"/>
      <c r="M933" s="113"/>
      <c r="N933" s="113"/>
      <c r="O933" s="113"/>
      <c r="P933" s="113"/>
      <c r="Q933" s="113"/>
      <c r="R933" s="113"/>
      <c r="S933" s="113"/>
      <c r="T933" s="113"/>
      <c r="U933" s="113"/>
      <c r="V933" s="113"/>
      <c r="W933" s="113"/>
      <c r="X933" s="113"/>
      <c r="Y933" s="113"/>
      <c r="Z933" s="113"/>
    </row>
    <row r="934">
      <c r="A934" s="113"/>
      <c r="B934" s="113"/>
      <c r="C934" s="113"/>
      <c r="D934" s="113"/>
      <c r="E934" s="113"/>
      <c r="F934" s="113"/>
      <c r="G934" s="113"/>
      <c r="H934" s="113"/>
      <c r="I934" s="113"/>
      <c r="J934" s="113"/>
      <c r="K934" s="113"/>
      <c r="L934" s="113"/>
      <c r="M934" s="113"/>
      <c r="N934" s="113"/>
      <c r="O934" s="113"/>
      <c r="P934" s="113"/>
      <c r="Q934" s="113"/>
      <c r="R934" s="113"/>
      <c r="S934" s="113"/>
      <c r="T934" s="113"/>
      <c r="U934" s="113"/>
      <c r="V934" s="113"/>
      <c r="W934" s="113"/>
      <c r="X934" s="113"/>
      <c r="Y934" s="113"/>
      <c r="Z934" s="113"/>
    </row>
    <row r="935">
      <c r="A935" s="113"/>
      <c r="B935" s="113"/>
      <c r="C935" s="113"/>
      <c r="D935" s="113"/>
      <c r="E935" s="113"/>
      <c r="F935" s="113"/>
      <c r="G935" s="113"/>
      <c r="H935" s="113"/>
      <c r="I935" s="113"/>
      <c r="J935" s="113"/>
      <c r="K935" s="113"/>
      <c r="L935" s="113"/>
      <c r="M935" s="113"/>
      <c r="N935" s="113"/>
      <c r="O935" s="113"/>
      <c r="P935" s="113"/>
      <c r="Q935" s="113"/>
      <c r="R935" s="113"/>
      <c r="S935" s="113"/>
      <c r="T935" s="113"/>
      <c r="U935" s="113"/>
      <c r="V935" s="113"/>
      <c r="W935" s="113"/>
      <c r="X935" s="113"/>
      <c r="Y935" s="113"/>
      <c r="Z935" s="113"/>
    </row>
    <row r="936">
      <c r="A936" s="113"/>
      <c r="B936" s="113"/>
      <c r="C936" s="113"/>
      <c r="D936" s="113"/>
      <c r="E936" s="113"/>
      <c r="F936" s="113"/>
      <c r="G936" s="113"/>
      <c r="H936" s="113"/>
      <c r="I936" s="113"/>
      <c r="J936" s="113"/>
      <c r="K936" s="113"/>
      <c r="L936" s="113"/>
      <c r="M936" s="113"/>
      <c r="N936" s="113"/>
      <c r="O936" s="113"/>
      <c r="P936" s="113"/>
      <c r="Q936" s="113"/>
      <c r="R936" s="113"/>
      <c r="S936" s="113"/>
      <c r="T936" s="113"/>
      <c r="U936" s="113"/>
      <c r="V936" s="113"/>
      <c r="W936" s="113"/>
      <c r="X936" s="113"/>
      <c r="Y936" s="113"/>
      <c r="Z936" s="113"/>
    </row>
    <row r="937">
      <c r="A937" s="113"/>
      <c r="B937" s="113"/>
      <c r="C937" s="113"/>
      <c r="D937" s="113"/>
      <c r="E937" s="113"/>
      <c r="F937" s="113"/>
      <c r="G937" s="113"/>
      <c r="H937" s="113"/>
      <c r="I937" s="113"/>
      <c r="J937" s="113"/>
      <c r="K937" s="113"/>
      <c r="L937" s="113"/>
      <c r="M937" s="113"/>
      <c r="N937" s="113"/>
      <c r="O937" s="113"/>
      <c r="P937" s="113"/>
      <c r="Q937" s="113"/>
      <c r="R937" s="113"/>
      <c r="S937" s="113"/>
      <c r="T937" s="113"/>
      <c r="U937" s="113"/>
      <c r="V937" s="113"/>
      <c r="W937" s="113"/>
      <c r="X937" s="113"/>
      <c r="Y937" s="113"/>
      <c r="Z937" s="113"/>
    </row>
    <row r="938">
      <c r="A938" s="113"/>
      <c r="B938" s="113"/>
      <c r="C938" s="113"/>
      <c r="D938" s="113"/>
      <c r="E938" s="113"/>
      <c r="F938" s="113"/>
      <c r="G938" s="113"/>
      <c r="H938" s="113"/>
      <c r="I938" s="113"/>
      <c r="J938" s="113"/>
      <c r="K938" s="113"/>
      <c r="L938" s="113"/>
      <c r="M938" s="113"/>
      <c r="N938" s="113"/>
      <c r="O938" s="113"/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3"/>
    </row>
    <row r="939">
      <c r="A939" s="113"/>
      <c r="B939" s="113"/>
      <c r="C939" s="113"/>
      <c r="D939" s="113"/>
      <c r="E939" s="113"/>
      <c r="F939" s="113"/>
      <c r="G939" s="113"/>
      <c r="H939" s="113"/>
      <c r="I939" s="113"/>
      <c r="J939" s="113"/>
      <c r="K939" s="113"/>
      <c r="L939" s="113"/>
      <c r="M939" s="113"/>
      <c r="N939" s="113"/>
      <c r="O939" s="113"/>
      <c r="P939" s="113"/>
      <c r="Q939" s="113"/>
      <c r="R939" s="113"/>
      <c r="S939" s="113"/>
      <c r="T939" s="113"/>
      <c r="U939" s="113"/>
      <c r="V939" s="113"/>
      <c r="W939" s="113"/>
      <c r="X939" s="113"/>
      <c r="Y939" s="113"/>
      <c r="Z939" s="113"/>
    </row>
    <row r="940">
      <c r="A940" s="113"/>
      <c r="B940" s="113"/>
      <c r="C940" s="113"/>
      <c r="D940" s="113"/>
      <c r="E940" s="113"/>
      <c r="F940" s="113"/>
      <c r="G940" s="113"/>
      <c r="H940" s="113"/>
      <c r="I940" s="113"/>
      <c r="J940" s="113"/>
      <c r="K940" s="113"/>
      <c r="L940" s="113"/>
      <c r="M940" s="113"/>
      <c r="N940" s="113"/>
      <c r="O940" s="113"/>
      <c r="P940" s="113"/>
      <c r="Q940" s="113"/>
      <c r="R940" s="113"/>
      <c r="S940" s="113"/>
      <c r="T940" s="113"/>
      <c r="U940" s="113"/>
      <c r="V940" s="113"/>
      <c r="W940" s="113"/>
      <c r="X940" s="113"/>
      <c r="Y940" s="113"/>
      <c r="Z940" s="113"/>
    </row>
    <row r="941">
      <c r="A941" s="113"/>
      <c r="B941" s="113"/>
      <c r="C941" s="113"/>
      <c r="D941" s="113"/>
      <c r="E941" s="113"/>
      <c r="F941" s="113"/>
      <c r="G941" s="113"/>
      <c r="H941" s="113"/>
      <c r="I941" s="113"/>
      <c r="J941" s="113"/>
      <c r="K941" s="113"/>
      <c r="L941" s="113"/>
      <c r="M941" s="113"/>
      <c r="N941" s="113"/>
      <c r="O941" s="113"/>
      <c r="P941" s="113"/>
      <c r="Q941" s="113"/>
      <c r="R941" s="113"/>
      <c r="S941" s="113"/>
      <c r="T941" s="113"/>
      <c r="U941" s="113"/>
      <c r="V941" s="113"/>
      <c r="W941" s="113"/>
      <c r="X941" s="113"/>
      <c r="Y941" s="113"/>
      <c r="Z941" s="113"/>
    </row>
    <row r="942">
      <c r="A942" s="113"/>
      <c r="B942" s="113"/>
      <c r="C942" s="113"/>
      <c r="D942" s="113"/>
      <c r="E942" s="113"/>
      <c r="F942" s="113"/>
      <c r="G942" s="113"/>
      <c r="H942" s="113"/>
      <c r="I942" s="113"/>
      <c r="J942" s="113"/>
      <c r="K942" s="113"/>
      <c r="L942" s="113"/>
      <c r="M942" s="113"/>
      <c r="N942" s="113"/>
      <c r="O942" s="113"/>
      <c r="P942" s="113"/>
      <c r="Q942" s="113"/>
      <c r="R942" s="113"/>
      <c r="S942" s="113"/>
      <c r="T942" s="113"/>
      <c r="U942" s="113"/>
      <c r="V942" s="113"/>
      <c r="W942" s="113"/>
      <c r="X942" s="113"/>
      <c r="Y942" s="113"/>
      <c r="Z942" s="113"/>
    </row>
    <row r="943">
      <c r="A943" s="113"/>
      <c r="B943" s="113"/>
      <c r="C943" s="113"/>
      <c r="D943" s="113"/>
      <c r="E943" s="113"/>
      <c r="F943" s="113"/>
      <c r="G943" s="113"/>
      <c r="H943" s="113"/>
      <c r="I943" s="113"/>
      <c r="J943" s="113"/>
      <c r="K943" s="113"/>
      <c r="L943" s="113"/>
      <c r="M943" s="113"/>
      <c r="N943" s="113"/>
      <c r="O943" s="113"/>
      <c r="P943" s="113"/>
      <c r="Q943" s="113"/>
      <c r="R943" s="113"/>
      <c r="S943" s="113"/>
      <c r="T943" s="113"/>
      <c r="U943" s="113"/>
      <c r="V943" s="113"/>
      <c r="W943" s="113"/>
      <c r="X943" s="113"/>
      <c r="Y943" s="113"/>
      <c r="Z943" s="113"/>
    </row>
    <row r="944">
      <c r="A944" s="113"/>
      <c r="B944" s="113"/>
      <c r="C944" s="113"/>
      <c r="D944" s="113"/>
      <c r="E944" s="113"/>
      <c r="F944" s="113"/>
      <c r="G944" s="113"/>
      <c r="H944" s="113"/>
      <c r="I944" s="113"/>
      <c r="J944" s="113"/>
      <c r="K944" s="113"/>
      <c r="L944" s="113"/>
      <c r="M944" s="113"/>
      <c r="N944" s="113"/>
      <c r="O944" s="113"/>
      <c r="P944" s="113"/>
      <c r="Q944" s="113"/>
      <c r="R944" s="113"/>
      <c r="S944" s="113"/>
      <c r="T944" s="113"/>
      <c r="U944" s="113"/>
      <c r="V944" s="113"/>
      <c r="W944" s="113"/>
      <c r="X944" s="113"/>
      <c r="Y944" s="113"/>
      <c r="Z944" s="113"/>
    </row>
    <row r="945">
      <c r="A945" s="113"/>
      <c r="B945" s="113"/>
      <c r="C945" s="113"/>
      <c r="D945" s="113"/>
      <c r="E945" s="113"/>
      <c r="F945" s="113"/>
      <c r="G945" s="113"/>
      <c r="H945" s="113"/>
      <c r="I945" s="113"/>
      <c r="J945" s="113"/>
      <c r="K945" s="113"/>
      <c r="L945" s="113"/>
      <c r="M945" s="113"/>
      <c r="N945" s="113"/>
      <c r="O945" s="113"/>
      <c r="P945" s="113"/>
      <c r="Q945" s="113"/>
      <c r="R945" s="113"/>
      <c r="S945" s="113"/>
      <c r="T945" s="113"/>
      <c r="U945" s="113"/>
      <c r="V945" s="113"/>
      <c r="W945" s="113"/>
      <c r="X945" s="113"/>
      <c r="Y945" s="113"/>
      <c r="Z945" s="113"/>
    </row>
    <row r="946">
      <c r="A946" s="113"/>
      <c r="B946" s="113"/>
      <c r="C946" s="113"/>
      <c r="D946" s="113"/>
      <c r="E946" s="113"/>
      <c r="F946" s="113"/>
      <c r="G946" s="113"/>
      <c r="H946" s="113"/>
      <c r="I946" s="113"/>
      <c r="J946" s="113"/>
      <c r="K946" s="113"/>
      <c r="L946" s="113"/>
      <c r="M946" s="113"/>
      <c r="N946" s="113"/>
      <c r="O946" s="113"/>
      <c r="P946" s="113"/>
      <c r="Q946" s="113"/>
      <c r="R946" s="113"/>
      <c r="S946" s="113"/>
      <c r="T946" s="113"/>
      <c r="U946" s="113"/>
      <c r="V946" s="113"/>
      <c r="W946" s="113"/>
      <c r="X946" s="113"/>
      <c r="Y946" s="113"/>
      <c r="Z946" s="113"/>
    </row>
    <row r="947">
      <c r="A947" s="113"/>
      <c r="B947" s="113"/>
      <c r="C947" s="113"/>
      <c r="D947" s="113"/>
      <c r="E947" s="113"/>
      <c r="F947" s="113"/>
      <c r="G947" s="113"/>
      <c r="H947" s="113"/>
      <c r="I947" s="113"/>
      <c r="J947" s="113"/>
      <c r="K947" s="113"/>
      <c r="L947" s="113"/>
      <c r="M947" s="113"/>
      <c r="N947" s="113"/>
      <c r="O947" s="113"/>
      <c r="P947" s="113"/>
      <c r="Q947" s="113"/>
      <c r="R947" s="113"/>
      <c r="S947" s="113"/>
      <c r="T947" s="113"/>
      <c r="U947" s="113"/>
      <c r="V947" s="113"/>
      <c r="W947" s="113"/>
      <c r="X947" s="113"/>
      <c r="Y947" s="113"/>
      <c r="Z947" s="113"/>
    </row>
    <row r="948">
      <c r="A948" s="113"/>
      <c r="B948" s="113"/>
      <c r="C948" s="113"/>
      <c r="D948" s="113"/>
      <c r="E948" s="113"/>
      <c r="F948" s="113"/>
      <c r="G948" s="113"/>
      <c r="H948" s="113"/>
      <c r="I948" s="113"/>
      <c r="J948" s="113"/>
      <c r="K948" s="113"/>
      <c r="L948" s="113"/>
      <c r="M948" s="113"/>
      <c r="N948" s="113"/>
      <c r="O948" s="113"/>
      <c r="P948" s="113"/>
      <c r="Q948" s="113"/>
      <c r="R948" s="113"/>
      <c r="S948" s="113"/>
      <c r="T948" s="113"/>
      <c r="U948" s="113"/>
      <c r="V948" s="113"/>
      <c r="W948" s="113"/>
      <c r="X948" s="113"/>
      <c r="Y948" s="113"/>
      <c r="Z948" s="113"/>
    </row>
    <row r="949">
      <c r="A949" s="113"/>
      <c r="B949" s="113"/>
      <c r="C949" s="113"/>
      <c r="D949" s="113"/>
      <c r="E949" s="113"/>
      <c r="F949" s="113"/>
      <c r="G949" s="113"/>
      <c r="H949" s="113"/>
      <c r="I949" s="113"/>
      <c r="J949" s="113"/>
      <c r="K949" s="113"/>
      <c r="L949" s="113"/>
      <c r="M949" s="113"/>
      <c r="N949" s="113"/>
      <c r="O949" s="113"/>
      <c r="P949" s="113"/>
      <c r="Q949" s="113"/>
      <c r="R949" s="113"/>
      <c r="S949" s="113"/>
      <c r="T949" s="113"/>
      <c r="U949" s="113"/>
      <c r="V949" s="113"/>
      <c r="W949" s="113"/>
      <c r="X949" s="113"/>
      <c r="Y949" s="113"/>
      <c r="Z949" s="113"/>
    </row>
    <row r="950">
      <c r="A950" s="113"/>
      <c r="B950" s="113"/>
      <c r="C950" s="113"/>
      <c r="D950" s="113"/>
      <c r="E950" s="113"/>
      <c r="F950" s="113"/>
      <c r="G950" s="113"/>
      <c r="H950" s="113"/>
      <c r="I950" s="113"/>
      <c r="J950" s="113"/>
      <c r="K950" s="113"/>
      <c r="L950" s="113"/>
      <c r="M950" s="113"/>
      <c r="N950" s="113"/>
      <c r="O950" s="113"/>
      <c r="P950" s="113"/>
      <c r="Q950" s="113"/>
      <c r="R950" s="113"/>
      <c r="S950" s="113"/>
      <c r="T950" s="113"/>
      <c r="U950" s="113"/>
      <c r="V950" s="113"/>
      <c r="W950" s="113"/>
      <c r="X950" s="113"/>
      <c r="Y950" s="113"/>
      <c r="Z950" s="113"/>
    </row>
    <row r="951">
      <c r="A951" s="113"/>
      <c r="B951" s="113"/>
      <c r="C951" s="113"/>
      <c r="D951" s="113"/>
      <c r="E951" s="113"/>
      <c r="F951" s="113"/>
      <c r="G951" s="113"/>
      <c r="H951" s="113"/>
      <c r="I951" s="113"/>
      <c r="J951" s="113"/>
      <c r="K951" s="113"/>
      <c r="L951" s="113"/>
      <c r="M951" s="113"/>
      <c r="N951" s="113"/>
      <c r="O951" s="113"/>
      <c r="P951" s="113"/>
      <c r="Q951" s="113"/>
      <c r="R951" s="113"/>
      <c r="S951" s="113"/>
      <c r="T951" s="113"/>
      <c r="U951" s="113"/>
      <c r="V951" s="113"/>
      <c r="W951" s="113"/>
      <c r="X951" s="113"/>
      <c r="Y951" s="113"/>
      <c r="Z951" s="113"/>
    </row>
    <row r="952">
      <c r="A952" s="113"/>
      <c r="B952" s="113"/>
      <c r="C952" s="113"/>
      <c r="D952" s="113"/>
      <c r="E952" s="113"/>
      <c r="F952" s="113"/>
      <c r="G952" s="113"/>
      <c r="H952" s="113"/>
      <c r="I952" s="113"/>
      <c r="J952" s="113"/>
      <c r="K952" s="113"/>
      <c r="L952" s="113"/>
      <c r="M952" s="113"/>
      <c r="N952" s="113"/>
      <c r="O952" s="113"/>
      <c r="P952" s="113"/>
      <c r="Q952" s="113"/>
      <c r="R952" s="113"/>
      <c r="S952" s="113"/>
      <c r="T952" s="113"/>
      <c r="U952" s="113"/>
      <c r="V952" s="113"/>
      <c r="W952" s="113"/>
      <c r="X952" s="113"/>
      <c r="Y952" s="113"/>
      <c r="Z952" s="113"/>
    </row>
    <row r="953">
      <c r="A953" s="113"/>
      <c r="B953" s="113"/>
      <c r="C953" s="113"/>
      <c r="D953" s="113"/>
      <c r="E953" s="113"/>
      <c r="F953" s="113"/>
      <c r="G953" s="113"/>
      <c r="H953" s="113"/>
      <c r="I953" s="113"/>
      <c r="J953" s="113"/>
      <c r="K953" s="113"/>
      <c r="L953" s="113"/>
      <c r="M953" s="113"/>
      <c r="N953" s="113"/>
      <c r="O953" s="113"/>
      <c r="P953" s="113"/>
      <c r="Q953" s="113"/>
      <c r="R953" s="113"/>
      <c r="S953" s="113"/>
      <c r="T953" s="113"/>
      <c r="U953" s="113"/>
      <c r="V953" s="113"/>
      <c r="W953" s="113"/>
      <c r="X953" s="113"/>
      <c r="Y953" s="113"/>
      <c r="Z953" s="113"/>
    </row>
    <row r="954">
      <c r="A954" s="113"/>
      <c r="B954" s="113"/>
      <c r="C954" s="113"/>
      <c r="D954" s="113"/>
      <c r="E954" s="113"/>
      <c r="F954" s="113"/>
      <c r="G954" s="113"/>
      <c r="H954" s="113"/>
      <c r="I954" s="113"/>
      <c r="J954" s="113"/>
      <c r="K954" s="113"/>
      <c r="L954" s="113"/>
      <c r="M954" s="113"/>
      <c r="N954" s="113"/>
      <c r="O954" s="113"/>
      <c r="P954" s="113"/>
      <c r="Q954" s="113"/>
      <c r="R954" s="113"/>
      <c r="S954" s="113"/>
      <c r="T954" s="113"/>
      <c r="U954" s="113"/>
      <c r="V954" s="113"/>
      <c r="W954" s="113"/>
      <c r="X954" s="113"/>
      <c r="Y954" s="113"/>
      <c r="Z954" s="113"/>
    </row>
    <row r="955">
      <c r="A955" s="113"/>
      <c r="B955" s="113"/>
      <c r="C955" s="113"/>
      <c r="D955" s="113"/>
      <c r="E955" s="113"/>
      <c r="F955" s="113"/>
      <c r="G955" s="113"/>
      <c r="H955" s="113"/>
      <c r="I955" s="113"/>
      <c r="J955" s="113"/>
      <c r="K955" s="113"/>
      <c r="L955" s="113"/>
      <c r="M955" s="113"/>
      <c r="N955" s="113"/>
      <c r="O955" s="113"/>
      <c r="P955" s="113"/>
      <c r="Q955" s="113"/>
      <c r="R955" s="113"/>
      <c r="S955" s="113"/>
      <c r="T955" s="113"/>
      <c r="U955" s="113"/>
      <c r="V955" s="113"/>
      <c r="W955" s="113"/>
      <c r="X955" s="113"/>
      <c r="Y955" s="113"/>
      <c r="Z955" s="113"/>
    </row>
    <row r="956">
      <c r="A956" s="113"/>
      <c r="B956" s="113"/>
      <c r="C956" s="113"/>
      <c r="D956" s="113"/>
      <c r="E956" s="113"/>
      <c r="F956" s="113"/>
      <c r="G956" s="113"/>
      <c r="H956" s="113"/>
      <c r="I956" s="113"/>
      <c r="J956" s="113"/>
      <c r="K956" s="113"/>
      <c r="L956" s="113"/>
      <c r="M956" s="113"/>
      <c r="N956" s="113"/>
      <c r="O956" s="113"/>
      <c r="P956" s="113"/>
      <c r="Q956" s="113"/>
      <c r="R956" s="113"/>
      <c r="S956" s="113"/>
      <c r="T956" s="113"/>
      <c r="U956" s="113"/>
      <c r="V956" s="113"/>
      <c r="W956" s="113"/>
      <c r="X956" s="113"/>
      <c r="Y956" s="113"/>
      <c r="Z956" s="113"/>
    </row>
    <row r="957">
      <c r="A957" s="113"/>
      <c r="B957" s="113"/>
      <c r="C957" s="113"/>
      <c r="D957" s="113"/>
      <c r="E957" s="113"/>
      <c r="F957" s="113"/>
      <c r="G957" s="113"/>
      <c r="H957" s="113"/>
      <c r="I957" s="113"/>
      <c r="J957" s="113"/>
      <c r="K957" s="113"/>
      <c r="L957" s="113"/>
      <c r="M957" s="113"/>
      <c r="N957" s="113"/>
      <c r="O957" s="113"/>
      <c r="P957" s="113"/>
      <c r="Q957" s="113"/>
      <c r="R957" s="113"/>
      <c r="S957" s="113"/>
      <c r="T957" s="113"/>
      <c r="U957" s="113"/>
      <c r="V957" s="113"/>
      <c r="W957" s="113"/>
      <c r="X957" s="113"/>
      <c r="Y957" s="113"/>
      <c r="Z957" s="113"/>
    </row>
    <row r="958">
      <c r="A958" s="113"/>
      <c r="B958" s="113"/>
      <c r="C958" s="113"/>
      <c r="D958" s="113"/>
      <c r="E958" s="113"/>
      <c r="F958" s="113"/>
      <c r="G958" s="113"/>
      <c r="H958" s="113"/>
      <c r="I958" s="113"/>
      <c r="J958" s="113"/>
      <c r="K958" s="113"/>
      <c r="L958" s="113"/>
      <c r="M958" s="113"/>
      <c r="N958" s="113"/>
      <c r="O958" s="113"/>
      <c r="P958" s="113"/>
      <c r="Q958" s="113"/>
      <c r="R958" s="113"/>
      <c r="S958" s="113"/>
      <c r="T958" s="113"/>
      <c r="U958" s="113"/>
      <c r="V958" s="113"/>
      <c r="W958" s="113"/>
      <c r="X958" s="113"/>
      <c r="Y958" s="113"/>
      <c r="Z958" s="113"/>
    </row>
    <row r="959">
      <c r="A959" s="113"/>
      <c r="B959" s="113"/>
      <c r="C959" s="113"/>
      <c r="D959" s="113"/>
      <c r="E959" s="113"/>
      <c r="F959" s="113"/>
      <c r="G959" s="113"/>
      <c r="H959" s="113"/>
      <c r="I959" s="113"/>
      <c r="J959" s="113"/>
      <c r="K959" s="113"/>
      <c r="L959" s="113"/>
      <c r="M959" s="113"/>
      <c r="N959" s="113"/>
      <c r="O959" s="113"/>
      <c r="P959" s="113"/>
      <c r="Q959" s="113"/>
      <c r="R959" s="113"/>
      <c r="S959" s="113"/>
      <c r="T959" s="113"/>
      <c r="U959" s="113"/>
      <c r="V959" s="113"/>
      <c r="W959" s="113"/>
      <c r="X959" s="113"/>
      <c r="Y959" s="113"/>
      <c r="Z959" s="113"/>
    </row>
    <row r="960">
      <c r="A960" s="113"/>
      <c r="B960" s="113"/>
      <c r="C960" s="113"/>
      <c r="D960" s="113"/>
      <c r="E960" s="113"/>
      <c r="F960" s="113"/>
      <c r="G960" s="113"/>
      <c r="H960" s="113"/>
      <c r="I960" s="113"/>
      <c r="J960" s="113"/>
      <c r="K960" s="113"/>
      <c r="L960" s="113"/>
      <c r="M960" s="113"/>
      <c r="N960" s="113"/>
      <c r="O960" s="113"/>
      <c r="P960" s="113"/>
      <c r="Q960" s="113"/>
      <c r="R960" s="113"/>
      <c r="S960" s="113"/>
      <c r="T960" s="113"/>
      <c r="U960" s="113"/>
      <c r="V960" s="113"/>
      <c r="W960" s="113"/>
      <c r="X960" s="113"/>
      <c r="Y960" s="113"/>
      <c r="Z960" s="113"/>
    </row>
    <row r="961">
      <c r="A961" s="113"/>
      <c r="B961" s="113"/>
      <c r="C961" s="113"/>
      <c r="D961" s="113"/>
      <c r="E961" s="113"/>
      <c r="F961" s="113"/>
      <c r="G961" s="113"/>
      <c r="H961" s="113"/>
      <c r="I961" s="113"/>
      <c r="J961" s="113"/>
      <c r="K961" s="113"/>
      <c r="L961" s="113"/>
      <c r="M961" s="113"/>
      <c r="N961" s="113"/>
      <c r="O961" s="113"/>
      <c r="P961" s="113"/>
      <c r="Q961" s="113"/>
      <c r="R961" s="113"/>
      <c r="S961" s="113"/>
      <c r="T961" s="113"/>
      <c r="U961" s="113"/>
      <c r="V961" s="113"/>
      <c r="W961" s="113"/>
      <c r="X961" s="113"/>
      <c r="Y961" s="113"/>
      <c r="Z961" s="113"/>
    </row>
    <row r="962">
      <c r="A962" s="113"/>
      <c r="B962" s="113"/>
      <c r="C962" s="113"/>
      <c r="D962" s="113"/>
      <c r="E962" s="113"/>
      <c r="F962" s="113"/>
      <c r="G962" s="113"/>
      <c r="H962" s="113"/>
      <c r="I962" s="113"/>
      <c r="J962" s="113"/>
      <c r="K962" s="113"/>
      <c r="L962" s="113"/>
      <c r="M962" s="113"/>
      <c r="N962" s="113"/>
      <c r="O962" s="113"/>
      <c r="P962" s="113"/>
      <c r="Q962" s="113"/>
      <c r="R962" s="113"/>
      <c r="S962" s="113"/>
      <c r="T962" s="113"/>
      <c r="U962" s="113"/>
      <c r="V962" s="113"/>
      <c r="W962" s="113"/>
      <c r="X962" s="113"/>
      <c r="Y962" s="113"/>
      <c r="Z962" s="113"/>
    </row>
    <row r="963">
      <c r="A963" s="113"/>
      <c r="B963" s="113"/>
      <c r="C963" s="113"/>
      <c r="D963" s="113"/>
      <c r="E963" s="113"/>
      <c r="F963" s="113"/>
      <c r="G963" s="113"/>
      <c r="H963" s="113"/>
      <c r="I963" s="113"/>
      <c r="J963" s="113"/>
      <c r="K963" s="113"/>
      <c r="L963" s="113"/>
      <c r="M963" s="113"/>
      <c r="N963" s="113"/>
      <c r="O963" s="113"/>
      <c r="P963" s="113"/>
      <c r="Q963" s="113"/>
      <c r="R963" s="113"/>
      <c r="S963" s="113"/>
      <c r="T963" s="113"/>
      <c r="U963" s="113"/>
      <c r="V963" s="113"/>
      <c r="W963" s="113"/>
      <c r="X963" s="113"/>
      <c r="Y963" s="113"/>
      <c r="Z963" s="113"/>
    </row>
    <row r="964">
      <c r="A964" s="113"/>
      <c r="B964" s="113"/>
      <c r="C964" s="113"/>
      <c r="D964" s="113"/>
      <c r="E964" s="113"/>
      <c r="F964" s="113"/>
      <c r="G964" s="113"/>
      <c r="H964" s="113"/>
      <c r="I964" s="113"/>
      <c r="J964" s="113"/>
      <c r="K964" s="113"/>
      <c r="L964" s="113"/>
      <c r="M964" s="113"/>
      <c r="N964" s="113"/>
      <c r="O964" s="113"/>
      <c r="P964" s="113"/>
      <c r="Q964" s="113"/>
      <c r="R964" s="113"/>
      <c r="S964" s="113"/>
      <c r="T964" s="113"/>
      <c r="U964" s="113"/>
      <c r="V964" s="113"/>
      <c r="W964" s="113"/>
      <c r="X964" s="113"/>
      <c r="Y964" s="113"/>
      <c r="Z964" s="113"/>
    </row>
    <row r="965">
      <c r="A965" s="113"/>
      <c r="B965" s="113"/>
      <c r="C965" s="113"/>
      <c r="D965" s="113"/>
      <c r="E965" s="113"/>
      <c r="F965" s="113"/>
      <c r="G965" s="113"/>
      <c r="H965" s="113"/>
      <c r="I965" s="113"/>
      <c r="J965" s="113"/>
      <c r="K965" s="113"/>
      <c r="L965" s="113"/>
      <c r="M965" s="113"/>
      <c r="N965" s="113"/>
      <c r="O965" s="113"/>
      <c r="P965" s="113"/>
      <c r="Q965" s="113"/>
      <c r="R965" s="113"/>
      <c r="S965" s="113"/>
      <c r="T965" s="113"/>
      <c r="U965" s="113"/>
      <c r="V965" s="113"/>
      <c r="W965" s="113"/>
      <c r="X965" s="113"/>
      <c r="Y965" s="113"/>
      <c r="Z965" s="113"/>
    </row>
    <row r="966">
      <c r="A966" s="113"/>
      <c r="B966" s="113"/>
      <c r="C966" s="113"/>
      <c r="D966" s="113"/>
      <c r="E966" s="113"/>
      <c r="F966" s="113"/>
      <c r="G966" s="113"/>
      <c r="H966" s="113"/>
      <c r="I966" s="113"/>
      <c r="J966" s="113"/>
      <c r="K966" s="113"/>
      <c r="L966" s="113"/>
      <c r="M966" s="113"/>
      <c r="N966" s="113"/>
      <c r="O966" s="113"/>
      <c r="P966" s="113"/>
      <c r="Q966" s="113"/>
      <c r="R966" s="113"/>
      <c r="S966" s="113"/>
      <c r="T966" s="113"/>
      <c r="U966" s="113"/>
      <c r="V966" s="113"/>
      <c r="W966" s="113"/>
      <c r="X966" s="113"/>
      <c r="Y966" s="113"/>
      <c r="Z966" s="113"/>
    </row>
    <row r="967">
      <c r="A967" s="113"/>
      <c r="B967" s="113"/>
      <c r="C967" s="113"/>
      <c r="D967" s="113"/>
      <c r="E967" s="113"/>
      <c r="F967" s="113"/>
      <c r="G967" s="113"/>
      <c r="H967" s="113"/>
      <c r="I967" s="113"/>
      <c r="J967" s="113"/>
      <c r="K967" s="113"/>
      <c r="L967" s="113"/>
      <c r="M967" s="113"/>
      <c r="N967" s="113"/>
      <c r="O967" s="113"/>
      <c r="P967" s="113"/>
      <c r="Q967" s="113"/>
      <c r="R967" s="113"/>
      <c r="S967" s="113"/>
      <c r="T967" s="113"/>
      <c r="U967" s="113"/>
      <c r="V967" s="113"/>
      <c r="W967" s="113"/>
      <c r="X967" s="113"/>
      <c r="Y967" s="113"/>
      <c r="Z967" s="113"/>
    </row>
    <row r="968">
      <c r="A968" s="113"/>
      <c r="B968" s="113"/>
      <c r="C968" s="113"/>
      <c r="D968" s="113"/>
      <c r="E968" s="113"/>
      <c r="F968" s="113"/>
      <c r="G968" s="113"/>
      <c r="H968" s="113"/>
      <c r="I968" s="113"/>
      <c r="J968" s="113"/>
      <c r="K968" s="113"/>
      <c r="L968" s="113"/>
      <c r="M968" s="113"/>
      <c r="N968" s="113"/>
      <c r="O968" s="113"/>
      <c r="P968" s="113"/>
      <c r="Q968" s="113"/>
      <c r="R968" s="113"/>
      <c r="S968" s="113"/>
      <c r="T968" s="113"/>
      <c r="U968" s="113"/>
      <c r="V968" s="113"/>
      <c r="W968" s="113"/>
      <c r="X968" s="113"/>
      <c r="Y968" s="113"/>
      <c r="Z968" s="113"/>
    </row>
    <row r="969">
      <c r="A969" s="113"/>
      <c r="B969" s="113"/>
      <c r="C969" s="113"/>
      <c r="D969" s="113"/>
      <c r="E969" s="113"/>
      <c r="F969" s="113"/>
      <c r="G969" s="113"/>
      <c r="H969" s="113"/>
      <c r="I969" s="113"/>
      <c r="J969" s="113"/>
      <c r="K969" s="113"/>
      <c r="L969" s="113"/>
      <c r="M969" s="113"/>
      <c r="N969" s="113"/>
      <c r="O969" s="113"/>
      <c r="P969" s="113"/>
      <c r="Q969" s="113"/>
      <c r="R969" s="113"/>
      <c r="S969" s="113"/>
      <c r="T969" s="113"/>
      <c r="U969" s="113"/>
      <c r="V969" s="113"/>
      <c r="W969" s="113"/>
      <c r="X969" s="113"/>
      <c r="Y969" s="113"/>
      <c r="Z969" s="113"/>
    </row>
    <row r="970">
      <c r="A970" s="113"/>
      <c r="B970" s="113"/>
      <c r="C970" s="113"/>
      <c r="D970" s="113"/>
      <c r="E970" s="113"/>
      <c r="F970" s="113"/>
      <c r="G970" s="113"/>
      <c r="H970" s="113"/>
      <c r="I970" s="113"/>
      <c r="J970" s="113"/>
      <c r="K970" s="113"/>
      <c r="L970" s="113"/>
      <c r="M970" s="113"/>
      <c r="N970" s="113"/>
      <c r="O970" s="113"/>
      <c r="P970" s="113"/>
      <c r="Q970" s="113"/>
      <c r="R970" s="113"/>
      <c r="S970" s="113"/>
      <c r="T970" s="113"/>
      <c r="U970" s="113"/>
      <c r="V970" s="113"/>
      <c r="W970" s="113"/>
      <c r="X970" s="113"/>
      <c r="Y970" s="113"/>
      <c r="Z970" s="113"/>
    </row>
    <row r="971">
      <c r="A971" s="113"/>
      <c r="B971" s="113"/>
      <c r="C971" s="113"/>
      <c r="D971" s="113"/>
      <c r="E971" s="113"/>
      <c r="F971" s="113"/>
      <c r="G971" s="113"/>
      <c r="H971" s="113"/>
      <c r="I971" s="113"/>
      <c r="J971" s="113"/>
      <c r="K971" s="113"/>
      <c r="L971" s="113"/>
      <c r="M971" s="113"/>
      <c r="N971" s="113"/>
      <c r="O971" s="113"/>
      <c r="P971" s="113"/>
      <c r="Q971" s="113"/>
      <c r="R971" s="113"/>
      <c r="S971" s="113"/>
      <c r="T971" s="113"/>
      <c r="U971" s="113"/>
      <c r="V971" s="113"/>
      <c r="W971" s="113"/>
      <c r="X971" s="113"/>
      <c r="Y971" s="113"/>
      <c r="Z971" s="113"/>
    </row>
    <row r="972">
      <c r="A972" s="113"/>
      <c r="B972" s="113"/>
      <c r="C972" s="113"/>
      <c r="D972" s="113"/>
      <c r="E972" s="113"/>
      <c r="F972" s="113"/>
      <c r="G972" s="113"/>
      <c r="H972" s="113"/>
      <c r="I972" s="113"/>
      <c r="J972" s="113"/>
      <c r="K972" s="113"/>
      <c r="L972" s="113"/>
      <c r="M972" s="113"/>
      <c r="N972" s="113"/>
      <c r="O972" s="113"/>
      <c r="P972" s="113"/>
      <c r="Q972" s="113"/>
      <c r="R972" s="113"/>
      <c r="S972" s="113"/>
      <c r="T972" s="113"/>
      <c r="U972" s="113"/>
      <c r="V972" s="113"/>
      <c r="W972" s="113"/>
      <c r="X972" s="113"/>
      <c r="Y972" s="113"/>
      <c r="Z972" s="113"/>
    </row>
    <row r="973">
      <c r="A973" s="113"/>
      <c r="B973" s="113"/>
      <c r="C973" s="113"/>
      <c r="D973" s="113"/>
      <c r="E973" s="113"/>
      <c r="F973" s="113"/>
      <c r="G973" s="113"/>
      <c r="H973" s="113"/>
      <c r="I973" s="113"/>
      <c r="J973" s="113"/>
      <c r="K973" s="113"/>
      <c r="L973" s="113"/>
      <c r="M973" s="113"/>
      <c r="N973" s="113"/>
      <c r="O973" s="113"/>
      <c r="P973" s="113"/>
      <c r="Q973" s="113"/>
      <c r="R973" s="113"/>
      <c r="S973" s="113"/>
      <c r="T973" s="113"/>
      <c r="U973" s="113"/>
      <c r="V973" s="113"/>
      <c r="W973" s="113"/>
      <c r="X973" s="113"/>
      <c r="Y973" s="113"/>
      <c r="Z973" s="113"/>
    </row>
    <row r="974">
      <c r="A974" s="113"/>
      <c r="B974" s="113"/>
      <c r="C974" s="113"/>
      <c r="D974" s="113"/>
      <c r="E974" s="113"/>
      <c r="F974" s="113"/>
      <c r="G974" s="113"/>
      <c r="H974" s="113"/>
      <c r="I974" s="113"/>
      <c r="J974" s="113"/>
      <c r="K974" s="113"/>
      <c r="L974" s="113"/>
      <c r="M974" s="113"/>
      <c r="N974" s="113"/>
      <c r="O974" s="113"/>
      <c r="P974" s="113"/>
      <c r="Q974" s="113"/>
      <c r="R974" s="113"/>
      <c r="S974" s="113"/>
      <c r="T974" s="113"/>
      <c r="U974" s="113"/>
      <c r="V974" s="113"/>
      <c r="W974" s="113"/>
      <c r="X974" s="113"/>
      <c r="Y974" s="113"/>
      <c r="Z974" s="113"/>
    </row>
    <row r="975">
      <c r="A975" s="113"/>
      <c r="B975" s="113"/>
      <c r="C975" s="113"/>
      <c r="D975" s="113"/>
      <c r="E975" s="113"/>
      <c r="F975" s="113"/>
      <c r="G975" s="113"/>
      <c r="H975" s="113"/>
      <c r="I975" s="113"/>
      <c r="J975" s="113"/>
      <c r="K975" s="113"/>
      <c r="L975" s="113"/>
      <c r="M975" s="113"/>
      <c r="N975" s="113"/>
      <c r="O975" s="113"/>
      <c r="P975" s="113"/>
      <c r="Q975" s="113"/>
      <c r="R975" s="113"/>
      <c r="S975" s="113"/>
      <c r="T975" s="113"/>
      <c r="U975" s="113"/>
      <c r="V975" s="113"/>
      <c r="W975" s="113"/>
      <c r="X975" s="113"/>
      <c r="Y975" s="113"/>
      <c r="Z975" s="113"/>
    </row>
    <row r="976">
      <c r="A976" s="113"/>
      <c r="B976" s="113"/>
      <c r="C976" s="113"/>
      <c r="D976" s="113"/>
      <c r="E976" s="113"/>
      <c r="F976" s="113"/>
      <c r="G976" s="113"/>
      <c r="H976" s="113"/>
      <c r="I976" s="113"/>
      <c r="J976" s="113"/>
      <c r="K976" s="113"/>
      <c r="L976" s="113"/>
      <c r="M976" s="113"/>
      <c r="N976" s="113"/>
      <c r="O976" s="113"/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3"/>
    </row>
    <row r="977">
      <c r="A977" s="113"/>
      <c r="B977" s="113"/>
      <c r="C977" s="113"/>
      <c r="D977" s="113"/>
      <c r="E977" s="113"/>
      <c r="F977" s="113"/>
      <c r="G977" s="113"/>
      <c r="H977" s="113"/>
      <c r="I977" s="113"/>
      <c r="J977" s="113"/>
      <c r="K977" s="113"/>
      <c r="L977" s="113"/>
      <c r="M977" s="113"/>
      <c r="N977" s="113"/>
      <c r="O977" s="113"/>
      <c r="P977" s="113"/>
      <c r="Q977" s="113"/>
      <c r="R977" s="113"/>
      <c r="S977" s="113"/>
      <c r="T977" s="113"/>
      <c r="U977" s="113"/>
      <c r="V977" s="113"/>
      <c r="W977" s="113"/>
      <c r="X977" s="113"/>
      <c r="Y977" s="113"/>
      <c r="Z977" s="113"/>
    </row>
    <row r="978">
      <c r="A978" s="113"/>
      <c r="B978" s="113"/>
      <c r="C978" s="113"/>
      <c r="D978" s="113"/>
      <c r="E978" s="113"/>
      <c r="F978" s="113"/>
      <c r="G978" s="113"/>
      <c r="H978" s="113"/>
      <c r="I978" s="113"/>
      <c r="J978" s="113"/>
      <c r="K978" s="113"/>
      <c r="L978" s="113"/>
      <c r="M978" s="113"/>
      <c r="N978" s="113"/>
      <c r="O978" s="113"/>
      <c r="P978" s="113"/>
      <c r="Q978" s="113"/>
      <c r="R978" s="113"/>
      <c r="S978" s="113"/>
      <c r="T978" s="113"/>
      <c r="U978" s="113"/>
      <c r="V978" s="113"/>
      <c r="W978" s="113"/>
      <c r="X978" s="113"/>
      <c r="Y978" s="113"/>
      <c r="Z978" s="113"/>
    </row>
    <row r="979">
      <c r="A979" s="113"/>
      <c r="B979" s="113"/>
      <c r="C979" s="113"/>
      <c r="D979" s="113"/>
      <c r="E979" s="113"/>
      <c r="F979" s="113"/>
      <c r="G979" s="113"/>
      <c r="H979" s="113"/>
      <c r="I979" s="113"/>
      <c r="J979" s="113"/>
      <c r="K979" s="113"/>
      <c r="L979" s="113"/>
      <c r="M979" s="113"/>
      <c r="N979" s="113"/>
      <c r="O979" s="113"/>
      <c r="P979" s="113"/>
      <c r="Q979" s="113"/>
      <c r="R979" s="113"/>
      <c r="S979" s="113"/>
      <c r="T979" s="113"/>
      <c r="U979" s="113"/>
      <c r="V979" s="113"/>
      <c r="W979" s="113"/>
      <c r="X979" s="113"/>
      <c r="Y979" s="113"/>
      <c r="Z979" s="113"/>
    </row>
    <row r="980">
      <c r="A980" s="113"/>
      <c r="B980" s="113"/>
      <c r="C980" s="113"/>
      <c r="D980" s="113"/>
      <c r="E980" s="113"/>
      <c r="F980" s="113"/>
      <c r="G980" s="113"/>
      <c r="H980" s="113"/>
      <c r="I980" s="113"/>
      <c r="J980" s="113"/>
      <c r="K980" s="113"/>
      <c r="L980" s="113"/>
      <c r="M980" s="113"/>
      <c r="N980" s="113"/>
      <c r="O980" s="113"/>
      <c r="P980" s="113"/>
      <c r="Q980" s="113"/>
      <c r="R980" s="113"/>
      <c r="S980" s="113"/>
      <c r="T980" s="113"/>
      <c r="U980" s="113"/>
      <c r="V980" s="113"/>
      <c r="W980" s="113"/>
      <c r="X980" s="113"/>
      <c r="Y980" s="113"/>
      <c r="Z980" s="113"/>
    </row>
    <row r="981">
      <c r="A981" s="113"/>
      <c r="B981" s="113"/>
      <c r="C981" s="113"/>
      <c r="D981" s="113"/>
      <c r="E981" s="113"/>
      <c r="F981" s="113"/>
      <c r="G981" s="113"/>
      <c r="H981" s="113"/>
      <c r="I981" s="113"/>
      <c r="J981" s="113"/>
      <c r="K981" s="113"/>
      <c r="L981" s="113"/>
      <c r="M981" s="113"/>
      <c r="N981" s="113"/>
      <c r="O981" s="113"/>
      <c r="P981" s="113"/>
      <c r="Q981" s="113"/>
      <c r="R981" s="113"/>
      <c r="S981" s="113"/>
      <c r="T981" s="113"/>
      <c r="U981" s="113"/>
      <c r="V981" s="113"/>
      <c r="W981" s="113"/>
      <c r="X981" s="113"/>
      <c r="Y981" s="113"/>
      <c r="Z981" s="113"/>
    </row>
    <row r="982">
      <c r="A982" s="113"/>
      <c r="B982" s="113"/>
      <c r="C982" s="113"/>
      <c r="D982" s="113"/>
      <c r="E982" s="113"/>
      <c r="F982" s="113"/>
      <c r="G982" s="113"/>
      <c r="H982" s="113"/>
      <c r="I982" s="113"/>
      <c r="J982" s="113"/>
      <c r="K982" s="113"/>
      <c r="L982" s="113"/>
      <c r="M982" s="113"/>
      <c r="N982" s="113"/>
      <c r="O982" s="113"/>
      <c r="P982" s="113"/>
      <c r="Q982" s="113"/>
      <c r="R982" s="113"/>
      <c r="S982" s="113"/>
      <c r="T982" s="113"/>
      <c r="U982" s="113"/>
      <c r="V982" s="113"/>
      <c r="W982" s="113"/>
      <c r="X982" s="113"/>
      <c r="Y982" s="113"/>
      <c r="Z982" s="113"/>
    </row>
    <row r="983">
      <c r="A983" s="113"/>
      <c r="B983" s="113"/>
      <c r="C983" s="113"/>
      <c r="D983" s="113"/>
      <c r="E983" s="113"/>
      <c r="F983" s="113"/>
      <c r="G983" s="113"/>
      <c r="H983" s="113"/>
      <c r="I983" s="113"/>
      <c r="J983" s="113"/>
      <c r="K983" s="113"/>
      <c r="L983" s="113"/>
      <c r="M983" s="113"/>
      <c r="N983" s="113"/>
      <c r="O983" s="113"/>
      <c r="P983" s="113"/>
      <c r="Q983" s="113"/>
      <c r="R983" s="113"/>
      <c r="S983" s="113"/>
      <c r="T983" s="113"/>
      <c r="U983" s="113"/>
      <c r="V983" s="113"/>
      <c r="W983" s="113"/>
      <c r="X983" s="113"/>
      <c r="Y983" s="113"/>
      <c r="Z983" s="113"/>
    </row>
    <row r="984">
      <c r="A984" s="113"/>
      <c r="B984" s="113"/>
      <c r="C984" s="113"/>
      <c r="D984" s="113"/>
      <c r="E984" s="113"/>
      <c r="F984" s="113"/>
      <c r="G984" s="113"/>
      <c r="H984" s="113"/>
      <c r="I984" s="113"/>
      <c r="J984" s="113"/>
      <c r="K984" s="113"/>
      <c r="L984" s="113"/>
      <c r="M984" s="113"/>
      <c r="N984" s="113"/>
      <c r="O984" s="113"/>
      <c r="P984" s="113"/>
      <c r="Q984" s="113"/>
      <c r="R984" s="113"/>
      <c r="S984" s="113"/>
      <c r="T984" s="113"/>
      <c r="U984" s="113"/>
      <c r="V984" s="113"/>
      <c r="W984" s="113"/>
      <c r="X984" s="113"/>
      <c r="Y984" s="113"/>
      <c r="Z984" s="113"/>
    </row>
    <row r="985">
      <c r="A985" s="113"/>
      <c r="B985" s="113"/>
      <c r="C985" s="113"/>
      <c r="D985" s="113"/>
      <c r="E985" s="113"/>
      <c r="F985" s="113"/>
      <c r="G985" s="113"/>
      <c r="H985" s="113"/>
      <c r="I985" s="113"/>
      <c r="J985" s="113"/>
      <c r="K985" s="113"/>
      <c r="L985" s="113"/>
      <c r="M985" s="113"/>
      <c r="N985" s="113"/>
      <c r="O985" s="113"/>
      <c r="P985" s="113"/>
      <c r="Q985" s="113"/>
      <c r="R985" s="113"/>
      <c r="S985" s="113"/>
      <c r="T985" s="113"/>
      <c r="U985" s="113"/>
      <c r="V985" s="113"/>
      <c r="W985" s="113"/>
      <c r="X985" s="113"/>
      <c r="Y985" s="113"/>
      <c r="Z985" s="113"/>
    </row>
    <row r="986">
      <c r="A986" s="113"/>
      <c r="B986" s="113"/>
      <c r="C986" s="113"/>
      <c r="D986" s="113"/>
      <c r="E986" s="113"/>
      <c r="F986" s="113"/>
      <c r="G986" s="113"/>
      <c r="H986" s="113"/>
      <c r="I986" s="113"/>
      <c r="J986" s="113"/>
      <c r="K986" s="113"/>
      <c r="L986" s="113"/>
      <c r="M986" s="113"/>
      <c r="N986" s="113"/>
      <c r="O986" s="113"/>
      <c r="P986" s="113"/>
      <c r="Q986" s="113"/>
      <c r="R986" s="113"/>
      <c r="S986" s="113"/>
      <c r="T986" s="113"/>
      <c r="U986" s="113"/>
      <c r="V986" s="113"/>
      <c r="W986" s="113"/>
      <c r="X986" s="113"/>
      <c r="Y986" s="113"/>
      <c r="Z986" s="113"/>
    </row>
    <row r="987">
      <c r="A987" s="113"/>
      <c r="B987" s="113"/>
      <c r="C987" s="113"/>
      <c r="D987" s="113"/>
      <c r="E987" s="113"/>
      <c r="F987" s="113"/>
      <c r="G987" s="113"/>
      <c r="H987" s="113"/>
      <c r="I987" s="113"/>
      <c r="J987" s="113"/>
      <c r="K987" s="113"/>
      <c r="L987" s="113"/>
      <c r="M987" s="113"/>
      <c r="N987" s="113"/>
      <c r="O987" s="113"/>
      <c r="P987" s="113"/>
      <c r="Q987" s="113"/>
      <c r="R987" s="113"/>
      <c r="S987" s="113"/>
      <c r="T987" s="113"/>
      <c r="U987" s="113"/>
      <c r="V987" s="113"/>
      <c r="W987" s="113"/>
      <c r="X987" s="113"/>
      <c r="Y987" s="113"/>
      <c r="Z987" s="113"/>
    </row>
    <row r="988">
      <c r="A988" s="113"/>
      <c r="B988" s="113"/>
      <c r="C988" s="113"/>
      <c r="D988" s="113"/>
      <c r="E988" s="113"/>
      <c r="F988" s="113"/>
      <c r="G988" s="113"/>
      <c r="H988" s="113"/>
      <c r="I988" s="113"/>
      <c r="J988" s="113"/>
      <c r="K988" s="113"/>
      <c r="L988" s="113"/>
      <c r="M988" s="113"/>
      <c r="N988" s="113"/>
      <c r="O988" s="113"/>
      <c r="P988" s="113"/>
      <c r="Q988" s="113"/>
      <c r="R988" s="113"/>
      <c r="S988" s="113"/>
      <c r="T988" s="113"/>
      <c r="U988" s="113"/>
      <c r="V988" s="113"/>
      <c r="W988" s="113"/>
      <c r="X988" s="113"/>
      <c r="Y988" s="113"/>
      <c r="Z988" s="113"/>
    </row>
    <row r="989">
      <c r="A989" s="113"/>
      <c r="B989" s="113"/>
      <c r="C989" s="113"/>
      <c r="D989" s="113"/>
      <c r="E989" s="113"/>
      <c r="F989" s="113"/>
      <c r="G989" s="113"/>
      <c r="H989" s="113"/>
      <c r="I989" s="113"/>
      <c r="J989" s="113"/>
      <c r="K989" s="113"/>
      <c r="L989" s="113"/>
      <c r="M989" s="113"/>
      <c r="N989" s="113"/>
      <c r="O989" s="113"/>
      <c r="P989" s="113"/>
      <c r="Q989" s="113"/>
      <c r="R989" s="113"/>
      <c r="S989" s="113"/>
      <c r="T989" s="113"/>
      <c r="U989" s="113"/>
      <c r="V989" s="113"/>
      <c r="W989" s="113"/>
      <c r="X989" s="113"/>
      <c r="Y989" s="113"/>
      <c r="Z989" s="113"/>
    </row>
    <row r="990">
      <c r="A990" s="113"/>
      <c r="B990" s="113"/>
      <c r="C990" s="113"/>
      <c r="D990" s="113"/>
      <c r="E990" s="113"/>
      <c r="F990" s="113"/>
      <c r="G990" s="113"/>
      <c r="H990" s="113"/>
      <c r="I990" s="113"/>
      <c r="J990" s="113"/>
      <c r="K990" s="113"/>
      <c r="L990" s="113"/>
      <c r="M990" s="113"/>
      <c r="N990" s="113"/>
      <c r="O990" s="113"/>
      <c r="P990" s="113"/>
      <c r="Q990" s="113"/>
      <c r="R990" s="113"/>
      <c r="S990" s="113"/>
      <c r="T990" s="113"/>
      <c r="U990" s="113"/>
      <c r="V990" s="113"/>
      <c r="W990" s="113"/>
      <c r="X990" s="113"/>
      <c r="Y990" s="113"/>
      <c r="Z990" s="113"/>
    </row>
    <row r="991">
      <c r="A991" s="113"/>
      <c r="B991" s="113"/>
      <c r="C991" s="113"/>
      <c r="D991" s="113"/>
      <c r="E991" s="113"/>
      <c r="F991" s="113"/>
      <c r="G991" s="113"/>
      <c r="H991" s="113"/>
      <c r="I991" s="113"/>
      <c r="J991" s="113"/>
      <c r="K991" s="113"/>
      <c r="L991" s="113"/>
      <c r="M991" s="113"/>
      <c r="N991" s="113"/>
      <c r="O991" s="113"/>
      <c r="P991" s="113"/>
      <c r="Q991" s="113"/>
      <c r="R991" s="113"/>
      <c r="S991" s="113"/>
      <c r="T991" s="113"/>
      <c r="U991" s="113"/>
      <c r="V991" s="113"/>
      <c r="W991" s="113"/>
      <c r="X991" s="113"/>
      <c r="Y991" s="113"/>
      <c r="Z991" s="113"/>
    </row>
    <row r="992">
      <c r="A992" s="113"/>
      <c r="B992" s="113"/>
      <c r="C992" s="113"/>
      <c r="D992" s="113"/>
      <c r="E992" s="113"/>
      <c r="F992" s="113"/>
      <c r="G992" s="113"/>
      <c r="H992" s="113"/>
      <c r="I992" s="113"/>
      <c r="J992" s="113"/>
      <c r="K992" s="113"/>
      <c r="L992" s="113"/>
      <c r="M992" s="113"/>
      <c r="N992" s="113"/>
      <c r="O992" s="113"/>
      <c r="P992" s="113"/>
      <c r="Q992" s="113"/>
      <c r="R992" s="113"/>
      <c r="S992" s="113"/>
      <c r="T992" s="113"/>
      <c r="U992" s="113"/>
      <c r="V992" s="113"/>
      <c r="W992" s="113"/>
      <c r="X992" s="113"/>
      <c r="Y992" s="113"/>
      <c r="Z992" s="113"/>
    </row>
    <row r="993">
      <c r="A993" s="113"/>
      <c r="B993" s="113"/>
      <c r="C993" s="113"/>
      <c r="D993" s="113"/>
      <c r="E993" s="113"/>
      <c r="F993" s="113"/>
      <c r="G993" s="113"/>
      <c r="H993" s="113"/>
      <c r="I993" s="113"/>
      <c r="J993" s="113"/>
      <c r="K993" s="113"/>
      <c r="L993" s="113"/>
      <c r="M993" s="113"/>
      <c r="N993" s="113"/>
      <c r="O993" s="113"/>
      <c r="P993" s="113"/>
      <c r="Q993" s="113"/>
      <c r="R993" s="113"/>
      <c r="S993" s="113"/>
      <c r="T993" s="113"/>
      <c r="U993" s="113"/>
      <c r="V993" s="113"/>
      <c r="W993" s="113"/>
      <c r="X993" s="113"/>
      <c r="Y993" s="113"/>
      <c r="Z993" s="113"/>
    </row>
    <row r="994">
      <c r="A994" s="113"/>
      <c r="B994" s="113"/>
      <c r="C994" s="113"/>
      <c r="D994" s="113"/>
      <c r="E994" s="113"/>
      <c r="F994" s="113"/>
      <c r="G994" s="113"/>
      <c r="H994" s="113"/>
      <c r="I994" s="113"/>
      <c r="J994" s="113"/>
      <c r="K994" s="113"/>
      <c r="L994" s="113"/>
      <c r="M994" s="113"/>
      <c r="N994" s="113"/>
      <c r="O994" s="113"/>
      <c r="P994" s="113"/>
      <c r="Q994" s="113"/>
      <c r="R994" s="113"/>
      <c r="S994" s="113"/>
      <c r="T994" s="113"/>
      <c r="U994" s="113"/>
      <c r="V994" s="113"/>
      <c r="W994" s="113"/>
      <c r="X994" s="113"/>
      <c r="Y994" s="113"/>
      <c r="Z994" s="113"/>
    </row>
    <row r="995">
      <c r="A995" s="113"/>
      <c r="B995" s="113"/>
      <c r="C995" s="113"/>
      <c r="D995" s="113"/>
      <c r="E995" s="113"/>
      <c r="F995" s="113"/>
      <c r="G995" s="113"/>
      <c r="H995" s="113"/>
      <c r="I995" s="113"/>
      <c r="J995" s="113"/>
      <c r="K995" s="113"/>
      <c r="L995" s="113"/>
      <c r="M995" s="113"/>
      <c r="N995" s="113"/>
      <c r="O995" s="113"/>
      <c r="P995" s="113"/>
      <c r="Q995" s="113"/>
      <c r="R995" s="113"/>
      <c r="S995" s="113"/>
      <c r="T995" s="113"/>
      <c r="U995" s="113"/>
      <c r="V995" s="113"/>
      <c r="W995" s="113"/>
      <c r="X995" s="113"/>
      <c r="Y995" s="113"/>
      <c r="Z995" s="113"/>
    </row>
    <row r="996">
      <c r="A996" s="113"/>
      <c r="B996" s="113"/>
      <c r="C996" s="113"/>
      <c r="D996" s="113"/>
      <c r="E996" s="113"/>
      <c r="F996" s="113"/>
      <c r="G996" s="113"/>
      <c r="H996" s="113"/>
      <c r="I996" s="113"/>
      <c r="J996" s="113"/>
      <c r="K996" s="113"/>
      <c r="L996" s="113"/>
      <c r="M996" s="113"/>
      <c r="N996" s="113"/>
      <c r="O996" s="113"/>
      <c r="P996" s="113"/>
      <c r="Q996" s="113"/>
      <c r="R996" s="113"/>
      <c r="S996" s="113"/>
      <c r="T996" s="113"/>
      <c r="U996" s="113"/>
      <c r="V996" s="113"/>
      <c r="W996" s="113"/>
      <c r="X996" s="113"/>
      <c r="Y996" s="113"/>
      <c r="Z996" s="113"/>
    </row>
    <row r="997">
      <c r="A997" s="113"/>
      <c r="B997" s="113"/>
      <c r="C997" s="113"/>
      <c r="D997" s="113"/>
      <c r="E997" s="113"/>
      <c r="F997" s="113"/>
      <c r="G997" s="113"/>
      <c r="H997" s="113"/>
      <c r="I997" s="113"/>
      <c r="J997" s="113"/>
      <c r="K997" s="113"/>
      <c r="L997" s="113"/>
      <c r="M997" s="113"/>
      <c r="N997" s="113"/>
      <c r="O997" s="113"/>
      <c r="P997" s="113"/>
      <c r="Q997" s="113"/>
      <c r="R997" s="113"/>
      <c r="S997" s="113"/>
      <c r="T997" s="113"/>
      <c r="U997" s="113"/>
      <c r="V997" s="113"/>
      <c r="W997" s="113"/>
      <c r="X997" s="113"/>
      <c r="Y997" s="113"/>
      <c r="Z997" s="113"/>
    </row>
    <row r="998">
      <c r="A998" s="113"/>
      <c r="B998" s="113"/>
      <c r="C998" s="113"/>
      <c r="D998" s="113"/>
      <c r="E998" s="113"/>
      <c r="F998" s="113"/>
      <c r="G998" s="113"/>
      <c r="H998" s="113"/>
      <c r="I998" s="113"/>
      <c r="J998" s="113"/>
      <c r="K998" s="113"/>
      <c r="L998" s="113"/>
      <c r="M998" s="113"/>
      <c r="N998" s="113"/>
      <c r="O998" s="113"/>
      <c r="P998" s="113"/>
      <c r="Q998" s="113"/>
      <c r="R998" s="113"/>
      <c r="S998" s="113"/>
      <c r="T998" s="113"/>
      <c r="U998" s="113"/>
      <c r="V998" s="113"/>
      <c r="W998" s="113"/>
      <c r="X998" s="113"/>
      <c r="Y998" s="113"/>
      <c r="Z998" s="113"/>
    </row>
    <row r="999">
      <c r="A999" s="113"/>
      <c r="B999" s="113"/>
      <c r="C999" s="113"/>
      <c r="D999" s="113"/>
      <c r="E999" s="113"/>
      <c r="F999" s="113"/>
      <c r="G999" s="113"/>
      <c r="H999" s="113"/>
      <c r="I999" s="113"/>
      <c r="J999" s="113"/>
      <c r="K999" s="113"/>
      <c r="L999" s="113"/>
      <c r="M999" s="113"/>
      <c r="N999" s="113"/>
      <c r="O999" s="113"/>
      <c r="P999" s="113"/>
      <c r="Q999" s="113"/>
      <c r="R999" s="113"/>
      <c r="S999" s="113"/>
      <c r="T999" s="113"/>
      <c r="U999" s="113"/>
      <c r="V999" s="113"/>
      <c r="W999" s="113"/>
      <c r="X999" s="113"/>
      <c r="Y999" s="113"/>
      <c r="Z999" s="113"/>
    </row>
    <row r="1000">
      <c r="A1000" s="113"/>
      <c r="B1000" s="113"/>
      <c r="C1000" s="113"/>
      <c r="D1000" s="113"/>
      <c r="E1000" s="113"/>
      <c r="F1000" s="113"/>
      <c r="G1000" s="113"/>
      <c r="H1000" s="113"/>
      <c r="I1000" s="113"/>
      <c r="J1000" s="113"/>
      <c r="K1000" s="113"/>
      <c r="L1000" s="113"/>
      <c r="M1000" s="113"/>
      <c r="N1000" s="113"/>
      <c r="O1000" s="113"/>
      <c r="P1000" s="113"/>
      <c r="Q1000" s="113"/>
      <c r="R1000" s="113"/>
      <c r="S1000" s="113"/>
      <c r="T1000" s="113"/>
      <c r="U1000" s="113"/>
      <c r="V1000" s="113"/>
      <c r="W1000" s="113"/>
      <c r="X1000" s="113"/>
      <c r="Y1000" s="113"/>
      <c r="Z1000" s="113"/>
    </row>
  </sheetData>
  <mergeCells count="5">
    <mergeCell ref="A1:B2"/>
    <mergeCell ref="C1:H1"/>
    <mergeCell ref="I1:T1"/>
    <mergeCell ref="A3:A12"/>
    <mergeCell ref="A16:A1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10" width="18.71"/>
  </cols>
  <sheetData>
    <row r="1">
      <c r="A1" s="10" t="s">
        <v>13</v>
      </c>
      <c r="B1" s="4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</row>
    <row r="2">
      <c r="A2" s="13" t="s">
        <v>14</v>
      </c>
      <c r="B2" s="14"/>
      <c r="C2" s="57">
        <v>2493.23</v>
      </c>
      <c r="D2" s="57">
        <v>2162.76</v>
      </c>
      <c r="E2" s="57">
        <v>3200.0</v>
      </c>
      <c r="F2" s="57">
        <v>2486.93</v>
      </c>
      <c r="G2" s="57">
        <v>2486.93</v>
      </c>
      <c r="H2" s="57">
        <v>3200.0</v>
      </c>
      <c r="I2" s="57">
        <v>2486.93</v>
      </c>
      <c r="J2" s="57">
        <v>2486.93</v>
      </c>
      <c r="K2" s="57">
        <v>2486.93</v>
      </c>
      <c r="L2" s="57">
        <v>2486.93</v>
      </c>
      <c r="M2" s="57">
        <v>2486.93</v>
      </c>
      <c r="N2" s="57">
        <v>2486.93</v>
      </c>
    </row>
    <row r="3">
      <c r="A3" s="24" t="s">
        <v>15</v>
      </c>
      <c r="B3" s="104"/>
      <c r="C3" s="50">
        <v>819.0</v>
      </c>
      <c r="D3" s="50">
        <v>1083.0</v>
      </c>
      <c r="E3" s="50">
        <v>1083.0</v>
      </c>
      <c r="F3" s="50">
        <v>1083.0</v>
      </c>
      <c r="G3" s="50">
        <v>1083.0</v>
      </c>
      <c r="H3" s="50"/>
      <c r="I3" s="50">
        <v>1083.0</v>
      </c>
      <c r="J3" s="50">
        <v>1083.0</v>
      </c>
      <c r="K3" s="50">
        <v>1083.0</v>
      </c>
      <c r="L3" s="50">
        <v>1083.0</v>
      </c>
      <c r="M3" s="50">
        <v>1083.0</v>
      </c>
      <c r="N3" s="50">
        <v>1083.0</v>
      </c>
    </row>
    <row r="4">
      <c r="A4" s="105" t="s">
        <v>16</v>
      </c>
      <c r="B4" s="106"/>
      <c r="C4" s="46">
        <v>338.0</v>
      </c>
      <c r="D4" s="46">
        <v>338.0</v>
      </c>
      <c r="E4" s="46"/>
      <c r="F4" s="46"/>
      <c r="G4" s="46"/>
      <c r="H4" s="46"/>
      <c r="I4" s="46"/>
      <c r="J4" s="46"/>
      <c r="K4" s="46"/>
      <c r="L4" s="46"/>
      <c r="M4" s="46"/>
      <c r="N4" s="46"/>
    </row>
    <row r="5">
      <c r="A5" s="24" t="s">
        <v>17</v>
      </c>
      <c r="B5" s="107"/>
      <c r="C5" s="30"/>
      <c r="D5" s="30"/>
      <c r="E5" s="30"/>
      <c r="F5" s="30"/>
      <c r="G5" s="30"/>
      <c r="H5" s="50"/>
      <c r="I5" s="30"/>
      <c r="J5" s="30"/>
      <c r="K5" s="30"/>
      <c r="L5" s="30"/>
      <c r="M5" s="30"/>
      <c r="N5" s="30"/>
    </row>
    <row r="6">
      <c r="A6" s="13" t="s">
        <v>18</v>
      </c>
      <c r="B6" s="14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</row>
    <row r="7">
      <c r="A7" s="27" t="s">
        <v>19</v>
      </c>
      <c r="B7" s="14"/>
      <c r="C7" s="30"/>
      <c r="D7" s="30"/>
      <c r="E7" s="30"/>
      <c r="F7" s="30"/>
      <c r="G7" s="30"/>
      <c r="H7" s="30"/>
      <c r="I7" s="50"/>
      <c r="J7" s="30"/>
      <c r="K7" s="30"/>
      <c r="L7" s="30"/>
      <c r="M7" s="30"/>
      <c r="N7" s="30"/>
    </row>
    <row r="8">
      <c r="A8" s="13"/>
      <c r="B8" s="14"/>
      <c r="C8" s="52"/>
      <c r="D8" s="52"/>
      <c r="E8" s="108"/>
      <c r="F8" s="52"/>
      <c r="G8" s="52"/>
      <c r="H8" s="52"/>
      <c r="I8" s="57"/>
      <c r="J8" s="52"/>
      <c r="K8" s="52"/>
      <c r="L8" s="52"/>
      <c r="M8" s="52"/>
      <c r="N8" s="52"/>
    </row>
    <row r="9">
      <c r="A9" s="27"/>
      <c r="B9" s="14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</row>
    <row r="10">
      <c r="A10" s="32" t="s">
        <v>20</v>
      </c>
      <c r="B10" s="14"/>
      <c r="C10" s="33">
        <f t="shared" ref="C10:L10" si="1">SUM(C2:C8)</f>
        <v>3650.23</v>
      </c>
      <c r="D10" s="33">
        <f t="shared" si="1"/>
        <v>3583.76</v>
      </c>
      <c r="E10" s="33">
        <f t="shared" si="1"/>
        <v>4283</v>
      </c>
      <c r="F10" s="33">
        <f t="shared" si="1"/>
        <v>3569.93</v>
      </c>
      <c r="G10" s="33">
        <f t="shared" si="1"/>
        <v>3569.93</v>
      </c>
      <c r="H10" s="33">
        <f t="shared" si="1"/>
        <v>3200</v>
      </c>
      <c r="I10" s="33">
        <f t="shared" si="1"/>
        <v>3569.93</v>
      </c>
      <c r="J10" s="33">
        <f t="shared" si="1"/>
        <v>3569.93</v>
      </c>
      <c r="K10" s="33">
        <f t="shared" si="1"/>
        <v>3569.93</v>
      </c>
      <c r="L10" s="33">
        <f t="shared" si="1"/>
        <v>3569.93</v>
      </c>
      <c r="M10" s="109">
        <f>SUM(M2:M9)</f>
        <v>3569.93</v>
      </c>
      <c r="N10" s="109">
        <f>SUM(N2:N8)</f>
        <v>3569.93</v>
      </c>
    </row>
    <row r="1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</row>
    <row r="12">
      <c r="A12" s="10" t="s">
        <v>21</v>
      </c>
      <c r="B12" s="4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>
      <c r="A13" s="38" t="s">
        <v>22</v>
      </c>
      <c r="B13" s="39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1"/>
    </row>
    <row r="14">
      <c r="A14" s="43" t="s">
        <v>23</v>
      </c>
      <c r="B14" s="44"/>
      <c r="C14" s="46">
        <v>370.0</v>
      </c>
      <c r="D14" s="46">
        <v>370.0</v>
      </c>
      <c r="E14" s="46">
        <v>370.0</v>
      </c>
      <c r="F14" s="46">
        <v>370.0</v>
      </c>
      <c r="G14" s="46">
        <v>370.0</v>
      </c>
      <c r="H14" s="46">
        <v>370.0</v>
      </c>
      <c r="I14" s="46">
        <v>370.0</v>
      </c>
      <c r="J14" s="46">
        <v>370.0</v>
      </c>
      <c r="K14" s="46">
        <v>370.0</v>
      </c>
      <c r="L14" s="46">
        <v>370.0</v>
      </c>
      <c r="M14" s="46">
        <v>370.0</v>
      </c>
      <c r="N14" s="46">
        <v>370.0</v>
      </c>
    </row>
    <row r="15">
      <c r="A15" s="48" t="s">
        <v>24</v>
      </c>
      <c r="B15" s="49"/>
      <c r="C15" s="50">
        <v>120.0</v>
      </c>
      <c r="D15" s="50">
        <v>120.0</v>
      </c>
      <c r="E15" s="50">
        <v>120.0</v>
      </c>
      <c r="F15" s="50">
        <v>120.0</v>
      </c>
      <c r="G15" s="50">
        <v>120.0</v>
      </c>
      <c r="H15" s="50">
        <v>120.0</v>
      </c>
      <c r="I15" s="50">
        <v>120.0</v>
      </c>
      <c r="J15" s="50">
        <v>120.0</v>
      </c>
      <c r="K15" s="50">
        <v>120.0</v>
      </c>
      <c r="L15" s="50">
        <v>120.0</v>
      </c>
      <c r="M15" s="50">
        <v>120.0</v>
      </c>
      <c r="N15" s="50">
        <v>120.0</v>
      </c>
    </row>
    <row r="16">
      <c r="A16" s="48" t="s">
        <v>61</v>
      </c>
      <c r="B16" s="51"/>
      <c r="C16" s="54">
        <v>0.0</v>
      </c>
      <c r="D16" s="54">
        <v>0.0</v>
      </c>
      <c r="E16" s="54">
        <v>119.99</v>
      </c>
      <c r="F16" s="54">
        <v>119.99</v>
      </c>
      <c r="G16" s="54"/>
      <c r="H16" s="54">
        <v>119.99</v>
      </c>
      <c r="I16" s="54">
        <v>119.99</v>
      </c>
      <c r="J16" s="54">
        <v>119.99</v>
      </c>
      <c r="K16" s="54">
        <v>119.99</v>
      </c>
      <c r="L16" s="54">
        <v>119.99</v>
      </c>
      <c r="M16" s="54">
        <v>119.99</v>
      </c>
      <c r="N16" s="54">
        <v>119.99</v>
      </c>
    </row>
    <row r="17">
      <c r="A17" s="55" t="s">
        <v>62</v>
      </c>
      <c r="B17" s="25"/>
      <c r="C17" s="50">
        <v>200.0</v>
      </c>
      <c r="D17" s="50"/>
      <c r="E17" s="50">
        <v>200.0</v>
      </c>
      <c r="F17" s="50">
        <v>200.0</v>
      </c>
      <c r="G17" s="50"/>
      <c r="H17" s="50">
        <v>200.0</v>
      </c>
      <c r="I17" s="50">
        <v>200.0</v>
      </c>
      <c r="J17" s="50">
        <v>200.0</v>
      </c>
      <c r="K17" s="50">
        <v>200.0</v>
      </c>
      <c r="L17" s="50">
        <v>200.0</v>
      </c>
      <c r="M17" s="50">
        <v>200.0</v>
      </c>
      <c r="N17" s="50">
        <v>200.0</v>
      </c>
    </row>
    <row r="18">
      <c r="A18" s="55" t="s">
        <v>63</v>
      </c>
      <c r="B18" s="17"/>
      <c r="C18" s="57">
        <v>500.0</v>
      </c>
      <c r="E18" s="57">
        <v>500.0</v>
      </c>
      <c r="F18" s="57">
        <v>500.0</v>
      </c>
      <c r="G18" s="57"/>
      <c r="H18" s="57">
        <v>500.0</v>
      </c>
      <c r="I18" s="57">
        <v>500.0</v>
      </c>
      <c r="J18" s="57">
        <v>500.0</v>
      </c>
      <c r="K18" s="57">
        <v>500.0</v>
      </c>
      <c r="L18" s="57">
        <v>500.0</v>
      </c>
      <c r="M18" s="57">
        <v>500.0</v>
      </c>
      <c r="N18" s="57">
        <v>500.0</v>
      </c>
    </row>
    <row r="19">
      <c r="A19" s="56" t="s">
        <v>27</v>
      </c>
      <c r="B19" s="25"/>
      <c r="C19" s="30"/>
      <c r="D19" s="30"/>
      <c r="E19" s="30"/>
      <c r="F19" s="30"/>
      <c r="G19" s="50"/>
      <c r="H19" s="50"/>
      <c r="I19" s="30"/>
      <c r="J19" s="30"/>
      <c r="K19" s="50"/>
      <c r="L19" s="50"/>
      <c r="M19" s="50"/>
      <c r="N19" s="30"/>
    </row>
    <row r="20">
      <c r="A20" s="32" t="s">
        <v>28</v>
      </c>
      <c r="B20" s="14"/>
      <c r="C20" s="33">
        <f t="shared" ref="C20:N20" si="2">SUM(C14:C19)</f>
        <v>1190</v>
      </c>
      <c r="D20" s="33">
        <f t="shared" si="2"/>
        <v>490</v>
      </c>
      <c r="E20" s="33">
        <f t="shared" si="2"/>
        <v>1309.99</v>
      </c>
      <c r="F20" s="33">
        <f t="shared" si="2"/>
        <v>1309.99</v>
      </c>
      <c r="G20" s="33">
        <f t="shared" si="2"/>
        <v>490</v>
      </c>
      <c r="H20" s="33">
        <f t="shared" si="2"/>
        <v>1309.99</v>
      </c>
      <c r="I20" s="33">
        <f t="shared" si="2"/>
        <v>1309.99</v>
      </c>
      <c r="J20" s="33">
        <f t="shared" si="2"/>
        <v>1309.99</v>
      </c>
      <c r="K20" s="33">
        <f t="shared" si="2"/>
        <v>1309.99</v>
      </c>
      <c r="L20" s="33">
        <f t="shared" si="2"/>
        <v>1309.99</v>
      </c>
      <c r="M20" s="33">
        <f t="shared" si="2"/>
        <v>1309.99</v>
      </c>
      <c r="N20" s="33">
        <f t="shared" si="2"/>
        <v>1309.99</v>
      </c>
    </row>
    <row r="21">
      <c r="A21" s="128"/>
      <c r="B21" s="128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</row>
    <row r="22">
      <c r="A22" s="38" t="s">
        <v>40</v>
      </c>
      <c r="B22" s="39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1"/>
    </row>
    <row r="23">
      <c r="A23" s="75" t="s">
        <v>41</v>
      </c>
      <c r="B23" s="14"/>
      <c r="C23" s="76">
        <v>679.57</v>
      </c>
      <c r="D23" s="76">
        <v>2277.04</v>
      </c>
      <c r="E23" s="76">
        <v>690.57</v>
      </c>
      <c r="F23" s="76">
        <v>530.0</v>
      </c>
      <c r="G23" s="76">
        <v>500.0</v>
      </c>
      <c r="H23" s="76">
        <v>100.0</v>
      </c>
      <c r="I23" s="76">
        <v>100.0</v>
      </c>
      <c r="J23" s="76">
        <v>100.0</v>
      </c>
      <c r="K23" s="76">
        <v>100.0</v>
      </c>
      <c r="L23" s="76">
        <v>100.0</v>
      </c>
      <c r="M23" s="76">
        <v>100.0</v>
      </c>
      <c r="N23" s="76">
        <v>100.0</v>
      </c>
    </row>
    <row r="24">
      <c r="A24" s="77" t="s">
        <v>42</v>
      </c>
      <c r="B24" s="14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</row>
    <row r="25">
      <c r="A25" s="75" t="s">
        <v>43</v>
      </c>
      <c r="B25" s="14"/>
      <c r="C25" s="76">
        <v>700.0</v>
      </c>
      <c r="D25" s="76"/>
      <c r="E25" s="76">
        <v>1064.0</v>
      </c>
      <c r="F25" s="76">
        <v>800.0</v>
      </c>
      <c r="G25" s="76">
        <v>1000.0</v>
      </c>
      <c r="H25" s="76">
        <v>800.0</v>
      </c>
      <c r="I25" s="76">
        <v>800.0</v>
      </c>
      <c r="J25" s="76">
        <v>800.0</v>
      </c>
      <c r="K25" s="76">
        <v>800.0</v>
      </c>
      <c r="L25" s="76">
        <v>800.0</v>
      </c>
      <c r="M25" s="76">
        <v>800.0</v>
      </c>
      <c r="N25" s="76">
        <v>800.0</v>
      </c>
    </row>
    <row r="26">
      <c r="A26" s="67" t="s">
        <v>44</v>
      </c>
      <c r="B26" s="61"/>
      <c r="C26" s="23">
        <v>100.0</v>
      </c>
      <c r="D26" s="23">
        <v>100.0</v>
      </c>
      <c r="E26" s="23">
        <v>100.0</v>
      </c>
      <c r="F26" s="23">
        <v>100.0</v>
      </c>
      <c r="G26" s="23">
        <v>100.0</v>
      </c>
      <c r="H26" s="23">
        <v>100.0</v>
      </c>
      <c r="I26" s="23">
        <v>100.0</v>
      </c>
      <c r="J26" s="23">
        <v>100.0</v>
      </c>
      <c r="K26" s="23">
        <v>100.0</v>
      </c>
      <c r="L26" s="23">
        <v>100.0</v>
      </c>
      <c r="M26" s="23">
        <v>100.0</v>
      </c>
      <c r="N26" s="23">
        <v>100.0</v>
      </c>
    </row>
    <row r="27">
      <c r="A27" s="56"/>
      <c r="B27" s="5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</row>
    <row r="28">
      <c r="A28" s="78" t="s">
        <v>45</v>
      </c>
      <c r="B28" s="14"/>
      <c r="C28" s="23">
        <v>500.0</v>
      </c>
      <c r="D28" s="23">
        <v>500.0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</row>
    <row r="29">
      <c r="A29" s="75" t="s">
        <v>46</v>
      </c>
      <c r="B29" s="14"/>
      <c r="C29" s="76">
        <v>367.0</v>
      </c>
      <c r="D29" s="76">
        <v>367.0</v>
      </c>
      <c r="E29" s="76">
        <v>367.0</v>
      </c>
      <c r="F29" s="76">
        <v>367.0</v>
      </c>
      <c r="G29" s="76"/>
      <c r="H29" s="76">
        <v>367.0</v>
      </c>
      <c r="I29" s="76">
        <v>367.0</v>
      </c>
      <c r="J29" s="76">
        <v>300.0</v>
      </c>
      <c r="K29" s="76">
        <v>367.0</v>
      </c>
      <c r="L29" s="76">
        <v>367.0</v>
      </c>
      <c r="M29" s="76">
        <v>367.0</v>
      </c>
      <c r="N29" s="76">
        <v>367.0</v>
      </c>
    </row>
    <row r="30">
      <c r="A30" s="79" t="s">
        <v>47</v>
      </c>
      <c r="B30" s="14"/>
      <c r="C30" s="33">
        <f t="shared" ref="C30:N30" si="3">SUM(C23:C29)</f>
        <v>2346.57</v>
      </c>
      <c r="D30" s="33">
        <f t="shared" si="3"/>
        <v>3244.04</v>
      </c>
      <c r="E30" s="33">
        <f t="shared" si="3"/>
        <v>2221.57</v>
      </c>
      <c r="F30" s="33">
        <f t="shared" si="3"/>
        <v>1797</v>
      </c>
      <c r="G30" s="33">
        <f t="shared" si="3"/>
        <v>1600</v>
      </c>
      <c r="H30" s="33">
        <f t="shared" si="3"/>
        <v>1367</v>
      </c>
      <c r="I30" s="33">
        <f t="shared" si="3"/>
        <v>1367</v>
      </c>
      <c r="J30" s="33">
        <f t="shared" si="3"/>
        <v>1300</v>
      </c>
      <c r="K30" s="33">
        <f t="shared" si="3"/>
        <v>1367</v>
      </c>
      <c r="L30" s="33">
        <f t="shared" si="3"/>
        <v>1367</v>
      </c>
      <c r="M30" s="33">
        <f t="shared" si="3"/>
        <v>1367</v>
      </c>
      <c r="N30" s="33">
        <f t="shared" si="3"/>
        <v>1367</v>
      </c>
    </row>
    <row r="31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</row>
    <row r="32">
      <c r="A32" s="82" t="s">
        <v>48</v>
      </c>
      <c r="B32" s="4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</row>
    <row r="33">
      <c r="A33" s="84" t="s">
        <v>49</v>
      </c>
      <c r="B33" s="14"/>
      <c r="C33" s="52">
        <f t="shared" ref="C33:N33" si="4">C10</f>
        <v>3650.23</v>
      </c>
      <c r="D33" s="52">
        <f t="shared" si="4"/>
        <v>3583.76</v>
      </c>
      <c r="E33" s="52">
        <f t="shared" si="4"/>
        <v>4283</v>
      </c>
      <c r="F33" s="52">
        <f t="shared" si="4"/>
        <v>3569.93</v>
      </c>
      <c r="G33" s="52">
        <f t="shared" si="4"/>
        <v>3569.93</v>
      </c>
      <c r="H33" s="52">
        <f t="shared" si="4"/>
        <v>3200</v>
      </c>
      <c r="I33" s="52">
        <f t="shared" si="4"/>
        <v>3569.93</v>
      </c>
      <c r="J33" s="52">
        <f t="shared" si="4"/>
        <v>3569.93</v>
      </c>
      <c r="K33" s="52">
        <f t="shared" si="4"/>
        <v>3569.93</v>
      </c>
      <c r="L33" s="52">
        <f t="shared" si="4"/>
        <v>3569.93</v>
      </c>
      <c r="M33" s="52">
        <f t="shared" si="4"/>
        <v>3569.93</v>
      </c>
      <c r="N33" s="52">
        <f t="shared" si="4"/>
        <v>3569.93</v>
      </c>
    </row>
    <row r="34">
      <c r="A34" s="77" t="s">
        <v>50</v>
      </c>
      <c r="B34" s="14"/>
      <c r="C34" s="30">
        <f t="shared" ref="C34:N34" si="5">C20</f>
        <v>1190</v>
      </c>
      <c r="D34" s="30">
        <f t="shared" si="5"/>
        <v>490</v>
      </c>
      <c r="E34" s="30">
        <f t="shared" si="5"/>
        <v>1309.99</v>
      </c>
      <c r="F34" s="30">
        <f t="shared" si="5"/>
        <v>1309.99</v>
      </c>
      <c r="G34" s="30">
        <f t="shared" si="5"/>
        <v>490</v>
      </c>
      <c r="H34" s="30">
        <f t="shared" si="5"/>
        <v>1309.99</v>
      </c>
      <c r="I34" s="30">
        <f t="shared" si="5"/>
        <v>1309.99</v>
      </c>
      <c r="J34" s="30">
        <f t="shared" si="5"/>
        <v>1309.99</v>
      </c>
      <c r="K34" s="30">
        <f t="shared" si="5"/>
        <v>1309.99</v>
      </c>
      <c r="L34" s="30">
        <f t="shared" si="5"/>
        <v>1309.99</v>
      </c>
      <c r="M34" s="30">
        <f t="shared" si="5"/>
        <v>1309.99</v>
      </c>
      <c r="N34" s="30">
        <f t="shared" si="5"/>
        <v>1309.99</v>
      </c>
    </row>
    <row r="35">
      <c r="A35" s="84" t="s">
        <v>51</v>
      </c>
      <c r="B35" s="14"/>
      <c r="C35" s="52">
        <v>0.0</v>
      </c>
      <c r="D35" s="52" t="str">
        <f t="shared" ref="D35:N35" si="6">#REF!</f>
        <v>#REF!</v>
      </c>
      <c r="E35" s="52" t="str">
        <f t="shared" si="6"/>
        <v>#REF!</v>
      </c>
      <c r="F35" s="52" t="str">
        <f t="shared" si="6"/>
        <v>#REF!</v>
      </c>
      <c r="G35" s="52" t="str">
        <f t="shared" si="6"/>
        <v>#REF!</v>
      </c>
      <c r="H35" s="52" t="str">
        <f t="shared" si="6"/>
        <v>#REF!</v>
      </c>
      <c r="I35" s="52" t="str">
        <f t="shared" si="6"/>
        <v>#REF!</v>
      </c>
      <c r="J35" s="52" t="str">
        <f t="shared" si="6"/>
        <v>#REF!</v>
      </c>
      <c r="K35" s="52" t="str">
        <f t="shared" si="6"/>
        <v>#REF!</v>
      </c>
      <c r="L35" s="52" t="str">
        <f t="shared" si="6"/>
        <v>#REF!</v>
      </c>
      <c r="M35" s="52" t="str">
        <f t="shared" si="6"/>
        <v>#REF!</v>
      </c>
      <c r="N35" s="52" t="str">
        <f t="shared" si="6"/>
        <v>#REF!</v>
      </c>
    </row>
    <row r="36">
      <c r="A36" s="77" t="s">
        <v>52</v>
      </c>
      <c r="B36" s="14"/>
      <c r="C36" s="30" t="str">
        <f t="shared" ref="C36:N36" si="7">C42</f>
        <v/>
      </c>
      <c r="D36" s="30" t="str">
        <f t="shared" si="7"/>
        <v/>
      </c>
      <c r="E36" s="30" t="str">
        <f t="shared" si="7"/>
        <v/>
      </c>
      <c r="F36" s="30" t="str">
        <f t="shared" si="7"/>
        <v/>
      </c>
      <c r="G36" s="30" t="str">
        <f t="shared" si="7"/>
        <v/>
      </c>
      <c r="H36" s="30" t="str">
        <f t="shared" si="7"/>
        <v/>
      </c>
      <c r="I36" s="30" t="str">
        <f t="shared" si="7"/>
        <v/>
      </c>
      <c r="J36" s="30" t="str">
        <f t="shared" si="7"/>
        <v/>
      </c>
      <c r="K36" s="30" t="str">
        <f t="shared" si="7"/>
        <v/>
      </c>
      <c r="L36" s="30" t="str">
        <f t="shared" si="7"/>
        <v/>
      </c>
      <c r="M36" s="30" t="str">
        <f t="shared" si="7"/>
        <v/>
      </c>
      <c r="N36" s="30" t="str">
        <f t="shared" si="7"/>
        <v/>
      </c>
    </row>
    <row r="37">
      <c r="A37" s="84" t="s">
        <v>53</v>
      </c>
      <c r="B37" s="14"/>
      <c r="C37" s="52" t="str">
        <f t="shared" ref="C37:N37" si="8">C52</f>
        <v/>
      </c>
      <c r="D37" s="52" t="str">
        <f t="shared" si="8"/>
        <v/>
      </c>
      <c r="E37" s="52" t="str">
        <f t="shared" si="8"/>
        <v/>
      </c>
      <c r="F37" s="52" t="str">
        <f t="shared" si="8"/>
        <v/>
      </c>
      <c r="G37" s="52" t="str">
        <f t="shared" si="8"/>
        <v/>
      </c>
      <c r="H37" s="52" t="str">
        <f t="shared" si="8"/>
        <v/>
      </c>
      <c r="I37" s="52" t="str">
        <f t="shared" si="8"/>
        <v/>
      </c>
      <c r="J37" s="52" t="str">
        <f t="shared" si="8"/>
        <v/>
      </c>
      <c r="K37" s="52" t="str">
        <f t="shared" si="8"/>
        <v/>
      </c>
      <c r="L37" s="52" t="str">
        <f t="shared" si="8"/>
        <v/>
      </c>
      <c r="M37" s="52" t="str">
        <f t="shared" si="8"/>
        <v/>
      </c>
      <c r="N37" s="52" t="str">
        <f t="shared" si="8"/>
        <v/>
      </c>
    </row>
    <row r="38">
      <c r="A38" s="78" t="s">
        <v>54</v>
      </c>
      <c r="B38" s="14"/>
      <c r="C38" s="30">
        <f t="shared" ref="C38:N38" si="9">C30</f>
        <v>2346.57</v>
      </c>
      <c r="D38" s="30">
        <f t="shared" si="9"/>
        <v>3244.04</v>
      </c>
      <c r="E38" s="30">
        <f t="shared" si="9"/>
        <v>2221.57</v>
      </c>
      <c r="F38" s="30">
        <f t="shared" si="9"/>
        <v>1797</v>
      </c>
      <c r="G38" s="30">
        <f t="shared" si="9"/>
        <v>1600</v>
      </c>
      <c r="H38" s="30">
        <f t="shared" si="9"/>
        <v>1367</v>
      </c>
      <c r="I38" s="30">
        <f t="shared" si="9"/>
        <v>1367</v>
      </c>
      <c r="J38" s="30">
        <f t="shared" si="9"/>
        <v>1300</v>
      </c>
      <c r="K38" s="30">
        <f t="shared" si="9"/>
        <v>1367</v>
      </c>
      <c r="L38" s="30">
        <f t="shared" si="9"/>
        <v>1367</v>
      </c>
      <c r="M38" s="30">
        <f t="shared" si="9"/>
        <v>1367</v>
      </c>
      <c r="N38" s="30">
        <f t="shared" si="9"/>
        <v>1367</v>
      </c>
    </row>
    <row r="39">
      <c r="A39" s="70" t="s">
        <v>55</v>
      </c>
      <c r="B39" s="14"/>
      <c r="C39" s="85">
        <f t="shared" ref="C39:N39" si="10">C33-(SUM(C34:C38))</f>
        <v>113.66</v>
      </c>
      <c r="D39" s="85" t="str">
        <f t="shared" si="10"/>
        <v>#REF!</v>
      </c>
      <c r="E39" s="85" t="str">
        <f t="shared" si="10"/>
        <v>#REF!</v>
      </c>
      <c r="F39" s="85" t="str">
        <f t="shared" si="10"/>
        <v>#REF!</v>
      </c>
      <c r="G39" s="85" t="str">
        <f t="shared" si="10"/>
        <v>#REF!</v>
      </c>
      <c r="H39" s="85" t="str">
        <f t="shared" si="10"/>
        <v>#REF!</v>
      </c>
      <c r="I39" s="85" t="str">
        <f t="shared" si="10"/>
        <v>#REF!</v>
      </c>
      <c r="J39" s="85" t="str">
        <f t="shared" si="10"/>
        <v>#REF!</v>
      </c>
      <c r="K39" s="85" t="str">
        <f t="shared" si="10"/>
        <v>#REF!</v>
      </c>
      <c r="L39" s="85" t="str">
        <f t="shared" si="10"/>
        <v>#REF!</v>
      </c>
      <c r="M39" s="85" t="str">
        <f t="shared" si="10"/>
        <v>#REF!</v>
      </c>
      <c r="N39" s="85" t="str">
        <f t="shared" si="10"/>
        <v>#REF!</v>
      </c>
    </row>
    <row r="42">
      <c r="A42" s="70"/>
      <c r="B42" s="14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</row>
    <row r="43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</row>
    <row r="44">
      <c r="A44" s="38"/>
      <c r="B44" s="39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1"/>
    </row>
    <row r="45">
      <c r="A45" s="60"/>
      <c r="B45" s="64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</row>
    <row r="46">
      <c r="A46" s="62"/>
      <c r="B46" s="61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>
      <c r="A47" s="60"/>
      <c r="B47" s="64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</row>
    <row r="48">
      <c r="A48" s="72"/>
      <c r="B48" s="61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>
      <c r="A49" s="62"/>
      <c r="B49" s="64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</row>
    <row r="50">
      <c r="A50" s="60"/>
      <c r="B50" s="61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</row>
    <row r="51">
      <c r="A51" s="62"/>
      <c r="B51" s="64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</row>
    <row r="52">
      <c r="A52" s="70"/>
      <c r="B52" s="14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</row>
    <row r="5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</row>
  </sheetData>
  <mergeCells count="31">
    <mergeCell ref="A1:B1"/>
    <mergeCell ref="A2:B2"/>
    <mergeCell ref="A6:B6"/>
    <mergeCell ref="A7:B7"/>
    <mergeCell ref="A8:B8"/>
    <mergeCell ref="A9:B9"/>
    <mergeCell ref="A10:B10"/>
    <mergeCell ref="A12:B12"/>
    <mergeCell ref="A13:B13"/>
    <mergeCell ref="A20:B20"/>
    <mergeCell ref="A22:B22"/>
    <mergeCell ref="A23:B23"/>
    <mergeCell ref="A24:B24"/>
    <mergeCell ref="A25:B25"/>
    <mergeCell ref="A28:B28"/>
    <mergeCell ref="A29:B29"/>
    <mergeCell ref="A30:B30"/>
    <mergeCell ref="A32:B32"/>
    <mergeCell ref="A33:B33"/>
    <mergeCell ref="A34:B34"/>
    <mergeCell ref="A35:B35"/>
    <mergeCell ref="A47:A49"/>
    <mergeCell ref="A50:A51"/>
    <mergeCell ref="A52:B52"/>
    <mergeCell ref="A36:B36"/>
    <mergeCell ref="A37:B37"/>
    <mergeCell ref="A38:B38"/>
    <mergeCell ref="A39:B39"/>
    <mergeCell ref="A42:B42"/>
    <mergeCell ref="A44:B44"/>
    <mergeCell ref="A45:A46"/>
  </mergeCells>
  <conditionalFormatting sqref="C39:N39">
    <cfRule type="cellIs" dxfId="0" priority="1" operator="greaterThan">
      <formula>0</formula>
    </cfRule>
  </conditionalFormatting>
  <conditionalFormatting sqref="C39:N39">
    <cfRule type="cellIs" dxfId="1" priority="2" operator="lessThan">
      <formula>0</formula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2020-07-01T19:11:47Z</dcterms:created>
  <dc:creator>Conquer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2dc993f286a249d1a4bc7d76d9528a36</vt:lpwstr>
  </property>
</Properties>
</file>